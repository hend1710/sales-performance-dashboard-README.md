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الكورس\"/>
    </mc:Choice>
  </mc:AlternateContent>
  <xr:revisionPtr revIDLastSave="0" documentId="13_ncr:1_{B61FF561-935F-4418-ABDA-CB8262143A87}" xr6:coauthVersionLast="47" xr6:coauthVersionMax="47" xr10:uidLastSave="{00000000-0000-0000-0000-000000000000}"/>
  <bookViews>
    <workbookView xWindow="-108" yWindow="492" windowWidth="23256" windowHeight="12576" activeTab="3" xr2:uid="{0A0D8D68-EFC2-4074-BDCA-85DAF874A3F1}"/>
  </bookViews>
  <sheets>
    <sheet name="Input Data" sheetId="2" r:id="rId1"/>
    <sheet name="Master Data" sheetId="1" r:id="rId2"/>
    <sheet name="pivot tables" sheetId="4" r:id="rId3"/>
    <sheet name="dashboard" sheetId="5" r:id="rId4"/>
  </sheets>
  <definedNames>
    <definedName name="_xlcn.WorksheetConnection_SalesDashboardpracticefile1.xlsxInputData1" hidden="1">InputData[]</definedName>
    <definedName name="_xlcn.WorksheetConnection_SalesDashboardpracticefile1.xlsxMasterData1" hidden="1">MasterData[]</definedName>
    <definedName name="Category">OFFSET(#REF!,1,0,COUNT(#REF!))</definedName>
    <definedName name="CategoryRange">OFFSET(#REF!,1,1,COUNT(#REF!))</definedName>
    <definedName name="Slicer_month_num">#N/A</definedName>
    <definedName name="Slicer_PaymentType">#N/A</definedName>
    <definedName name="Slicer_SaleType">#N/A</definedName>
    <definedName name="Slicer_year">#N/A</definedName>
  </definedNames>
  <calcPr calcId="191029"/>
  <pivotCaches>
    <pivotCache cacheId="2249" r:id="rId5"/>
    <pivotCache cacheId="2252" r:id="rId6"/>
    <pivotCache cacheId="2255" r:id="rId7"/>
    <pivotCache cacheId="2258" r:id="rId8"/>
    <pivotCache cacheId="2261" r:id="rId9"/>
    <pivotCache cacheId="2264" r:id="rId10"/>
    <pivotCache cacheId="2267" r:id="rId11"/>
    <pivotCache cacheId="2270" r:id="rId12"/>
    <pivotCache cacheId="2273" r:id="rId13"/>
    <pivotCache cacheId="2276" r:id="rId14"/>
    <pivotCache cacheId="2279"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Data_020eb1d7-9cc0-4d89-87ee-cb63784f0e88" name="MasterData" connection="Query - MasterData"/>
          <x15:modelTable id="InputData_f8f607ae-5ca9-4967-8ddb-6cfcb297e5c8" name="InputData" connection="Query - InputData"/>
          <x15:modelTable id="MasterData 1" name="MasterData 1" connection="WorksheetConnection_Sales-Dashboard-practice-file (1).xlsx!MasterData"/>
          <x15:modelTable id="InputData 1" name="InputData 1" connection="WorksheetConnection_Sales-Dashboard-practice-file (1).xlsx!InputData"/>
        </x15:modelTables>
        <x15:modelRelationships>
          <x15:modelRelationship fromTable="InputData" fromColumn="ProductID" toTable="MasterData" toColumn="PRODUCT ID"/>
          <x15:modelRelationship fromTable="InputData 1" fromColumn="PRODUCT ID" toTable="MasterData 1"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 i="4" l="1"/>
  <c r="A5" i="4"/>
  <c r="W8" i="4"/>
  <c r="AA5" i="4"/>
  <c r="W7" i="4"/>
  <c r="D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37C3FA-CBA1-42B2-B481-8E139E54FC1E}" name="Query - InputData" description="Connection to the 'InputData' query in the workbook." type="100" refreshedVersion="7" minRefreshableVersion="5">
    <extLst>
      <ext xmlns:x15="http://schemas.microsoft.com/office/spreadsheetml/2010/11/main" uri="{DE250136-89BD-433C-8126-D09CA5730AF9}">
        <x15:connection id="e8e97d33-4056-4583-a6e7-2510f11c2539"/>
      </ext>
    </extLst>
  </connection>
  <connection id="2" xr16:uid="{B4A793FB-0EE1-4E53-B943-536D2336FF3D}" name="Query - MasterData" description="Connection to the 'MasterData' query in the workbook." type="100" refreshedVersion="7" minRefreshableVersion="5">
    <extLst>
      <ext xmlns:x15="http://schemas.microsoft.com/office/spreadsheetml/2010/11/main" uri="{DE250136-89BD-433C-8126-D09CA5730AF9}">
        <x15:connection id="90cb86ec-27af-49a8-ac33-627674d6f97c"/>
      </ext>
    </extLst>
  </connection>
  <connection id="3" xr16:uid="{6E040D80-E8FC-4AF3-823E-B4050C110631}"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4" xr16:uid="{63717D59-8665-4C5C-A5B4-F605F695F3EF}" name="WorksheetConnection_Sales-Dashboard-practice-file (1).xlsx!InputData" type="102" refreshedVersion="7" minRefreshableVersion="5">
    <extLst>
      <ext xmlns:x15="http://schemas.microsoft.com/office/spreadsheetml/2010/11/main" uri="{DE250136-89BD-433C-8126-D09CA5730AF9}">
        <x15:connection id="InputData 1">
          <x15:rangePr sourceName="_xlcn.WorksheetConnection_SalesDashboardpracticefile1.xlsxInputData1"/>
        </x15:connection>
      </ext>
    </extLst>
  </connection>
  <connection id="5" xr16:uid="{FB929A93-471B-42AB-BC8E-00B504385C98}" name="WorksheetConnection_Sales-Dashboard-practice-file (1).xlsx!MasterData" type="102" refreshedVersion="7" minRefreshableVersion="5">
    <extLst>
      <ext xmlns:x15="http://schemas.microsoft.com/office/spreadsheetml/2010/11/main" uri="{DE250136-89BD-433C-8126-D09CA5730AF9}">
        <x15:connection id="MasterData 1" autoDelete="1">
          <x15:rangePr sourceName="_xlcn.WorksheetConnection_SalesDashboardpracticefile1.xlsxMaster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InputData].[month num].[All]}"/>
  </metadataStrings>
  <mdxMetadata count="1">
    <mdx n="0" f="s">
      <ms ns="1" c="0"/>
    </mdx>
  </mdxMetadata>
  <valueMetadata count="1">
    <bk>
      <rc t="1" v="0"/>
    </bk>
  </valueMetadata>
</metadata>
</file>

<file path=xl/sharedStrings.xml><?xml version="1.0" encoding="utf-8"?>
<sst xmlns="http://schemas.openxmlformats.org/spreadsheetml/2006/main" count="1877" uniqueCount="132">
  <si>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</si>
  <si>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</si>
  <si>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</si>
  <si>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</si>
  <si>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</si>
  <si>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</si>
  <si>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</si>
  <si>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</si>
  <si>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</si>
  <si>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</si>
  <si>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</si>
  <si>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</si>
  <si>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</si>
  <si>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</si>
  <si>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</si>
  <si>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</si>
  <si>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</si>
  <si>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</si>
  <si>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</si>
  <si>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</si>
  <si>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</si>
  <si>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</si>
  <si>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</si>
  <si>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</si>
  <si>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</si>
  <si>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</si>
  <si>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</si>
  <si>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</si>
  <si>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</si>
  <si>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</si>
  <si>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</si>
  <si>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</si>
  <si>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</si>
  <si>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</si>
  <si>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</si>
  <si>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</si>
  <si>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</si>
  <si>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</si>
  <si>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</si>
  <si>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</si>
  <si>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</si>
  <si>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</si>
  <si>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</si>
  <si>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</si>
  <si>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</si>
  <si>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</si>
  <si>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</si>
  <si>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</si>
  <si>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</si>
  <si>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</si>
  <si>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</si>
  <si>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</si>
  <si>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</si>
  <si>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</si>
  <si>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</si>
  <si>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</si>
  <si>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</si>
  <si>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</si>
  <si>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</si>
  <si>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</si>
  <si>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</si>
  <si>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</si>
  <si>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</si>
  <si>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</si>
  <si>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</si>
  <si>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</si>
  <si>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</si>
  <si>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</si>
  <si>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</si>
  <si>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</si>
  <si>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</si>
  <si>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</si>
  <si>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</si>
  <si>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</si>
  <si>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</si>
  <si>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</si>
  <si>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</si>
  <si>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</si>
  <si>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</si>
  <si>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</si>
  <si>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</si>
  <si>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</si>
  <si>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</si>
  <si>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</si>
  <si>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</si>
  <si>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</si>
  <si>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</si>
  <si>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</si>
  <si>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</si>
  <si>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</si>
  <si>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</si>
  <si>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</si>
  <si>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</si>
  <si>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</si>
  <si>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</si>
  <si>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</si>
  <si>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</si>
  <si>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</si>
  <si>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</si>
  <si>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</si>
  <si>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</si>
  <si>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</si>
  <si>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</si>
  <si>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</si>
  <si>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</si>
  <si>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</si>
  <si>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</si>
  <si>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</si>
  <si>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</si>
  <si>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</si>
  <si>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</si>
  <si>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</si>
  <si>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</si>
  <si>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</si>
  <si>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Sum of SellingPrice</t>
  </si>
  <si>
    <t>Sum of Profit</t>
  </si>
  <si>
    <t>Row Labels</t>
  </si>
  <si>
    <t>Apr</t>
  </si>
  <si>
    <t>Aug</t>
  </si>
  <si>
    <t>Dec</t>
  </si>
  <si>
    <t>Feb</t>
  </si>
  <si>
    <t>Jan</t>
  </si>
  <si>
    <t>Jul</t>
  </si>
  <si>
    <t>Jun</t>
  </si>
  <si>
    <t>Mar</t>
  </si>
  <si>
    <t>May</t>
  </si>
  <si>
    <t>Nov</t>
  </si>
  <si>
    <t>Oct</t>
  </si>
  <si>
    <t>Sep</t>
  </si>
  <si>
    <t>All</t>
  </si>
  <si>
    <t>Sum of Profit2</t>
  </si>
  <si>
    <t>month 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</si>
</sst>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1"/>
      <color rgb="FF7030A0"/>
      <name val="Calibri"/>
      <family val="2"/>
      <scheme val="minor"/>
    </font>
    <font>
      <sz val="11"/>
      <color theme="1"/>
      <name val="Calibri"/>
      <family val="2"/>
      <scheme val="minor"/>
    </font>
  </fonts>
  <fills count="7">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
      <patternFill patternType="solid">
        <fgColor theme="0" tint="-0.14999847407452621"/>
        <bgColor indexed="64"/>
      </patternFill>
    </fill>
  </fills>
  <borders count="2">
    <border>
      <left/>
      <right/>
      <top/>
      <bottom/>
      <diagonal/>
    </border>
    <border>
      <left/>
      <right/>
      <top/>
      <bottom style="medium">
        <color rgb="FF7030A0"/>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0" fontId="0" fillId="3" borderId="0" xfId="0" applyNumberFormat="1" applyFill="1" applyAlignment="1">
      <alignment horizontal="center" vertical="center"/>
    </xf>
    <xf numFmtId="0" fontId="0" fillId="5" borderId="0" xfId="0" applyNumberFormat="1" applyFill="1"/>
    <xf numFmtId="0" fontId="0" fillId="0" borderId="0" xfId="0" applyFill="1"/>
    <xf numFmtId="0" fontId="0" fillId="0" borderId="0" xfId="0" applyNumberFormat="1" applyFill="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9" fontId="0" fillId="0" borderId="0" xfId="1" applyFont="1"/>
    <xf numFmtId="0" fontId="0" fillId="6" borderId="0" xfId="0" applyFill="1"/>
  </cellXfs>
  <cellStyles count="2">
    <cellStyle name="Normal" xfId="0" builtinId="0"/>
    <cellStyle name="Percent" xfId="1" builtinId="5"/>
  </cellStyles>
  <dxfs count="17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9"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font>
        <b/>
        <color theme="1"/>
      </font>
      <border>
        <bottom style="thin">
          <color theme="4"/>
        </bottom>
        <vertical/>
        <horizontal/>
      </border>
    </dxf>
    <dxf>
      <font>
        <color theme="1"/>
      </font>
      <fill>
        <patternFill>
          <bgColor theme="4"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0" tint="-0.14996795556505021"/>
        </patternFill>
      </fill>
      <border>
        <left style="thin">
          <color theme="4"/>
        </left>
        <right style="thin">
          <color theme="4"/>
        </right>
        <top style="thin">
          <color theme="4"/>
        </top>
        <bottom style="thin">
          <color theme="4"/>
        </bottom>
        <vertical/>
        <horizontal/>
      </border>
    </dxf>
    <dxf>
      <font>
        <b/>
        <color theme="1"/>
      </font>
      <fill>
        <patternFill>
          <bgColor theme="4"/>
        </patternFill>
      </fill>
      <border>
        <bottom style="thin">
          <color theme="4"/>
        </bottom>
        <vertical/>
        <horizontal/>
      </border>
    </dxf>
    <dxf>
      <font>
        <color theme="1"/>
      </font>
      <fill>
        <patternFill>
          <bgColor rgb="FF8B2589"/>
        </patternFill>
      </fill>
      <border>
        <left style="thin">
          <color theme="4"/>
        </left>
        <right style="thin">
          <color theme="4"/>
        </right>
        <top style="thin">
          <color theme="4"/>
        </top>
        <bottom style="thin">
          <color theme="4"/>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4" defaultTableStyle="TableStyleMedium2" defaultPivotStyle="PivotStyleLight16">
    <tableStyle name="SLICER" pivot="0" table="0" count="10" xr9:uid="{C2F4C036-8D81-403F-996E-142D1BF5CBC0}">
      <tableStyleElement type="wholeTable" dxfId="170"/>
      <tableStyleElement type="headerRow" dxfId="169"/>
    </tableStyle>
    <tableStyle name="SlicerStyleDark1 2" pivot="0" table="0" count="10" xr9:uid="{A77FC87B-C047-4B9D-A7A6-D0346461B94F}">
      <tableStyleElement type="wholeTable" dxfId="168"/>
      <tableStyleElement type="headerRow" dxfId="167"/>
    </tableStyle>
    <tableStyle name="SlicerStyleDark1 2 2" pivot="0" table="0" count="10" xr9:uid="{51722B52-A2A6-4E0C-B187-2736F439C7A5}">
      <tableStyleElement type="wholeTable" dxfId="166"/>
      <tableStyleElement type="headerRow" dxfId="165"/>
    </tableStyle>
    <tableStyle name="SlicerStyleLight1 2" pivot="0" table="0" count="10" xr9:uid="{87DA018E-BC99-4AF4-88F2-A997B6EBD71A}">
      <tableStyleElement type="wholeTable" dxfId="164"/>
      <tableStyleElement type="headerRow" dxfId="163"/>
    </tableStyle>
  </tableStyles>
  <colors>
    <mruColors>
      <color rgb="FF8B2589"/>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5"/>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Dark1 2">
        <x14:slicerStyle name="SLICER">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tables!total &amp; percentage  profit per month</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Sum of Profit</c:v>
                </c:pt>
              </c:strCache>
            </c:strRef>
          </c:tx>
          <c:spPr>
            <a:ln w="28575" cap="rnd">
              <a:solidFill>
                <a:schemeClr val="accent1"/>
              </a:solidFill>
              <a:round/>
            </a:ln>
            <a:effectLst/>
          </c:spPr>
          <c:marker>
            <c:symbol val="none"/>
          </c:marker>
          <c:cat>
            <c:strRef>
              <c:f>'pivot tables'!$J$4:$J$15</c:f>
              <c:strCache>
                <c:ptCount val="12"/>
                <c:pt idx="0">
                  <c:v>Jan</c:v>
                </c:pt>
                <c:pt idx="1">
                  <c:v>Apr</c:v>
                </c:pt>
                <c:pt idx="2">
                  <c:v>Aug</c:v>
                </c:pt>
                <c:pt idx="3">
                  <c:v>Dec</c:v>
                </c:pt>
                <c:pt idx="4">
                  <c:v>Feb</c:v>
                </c:pt>
                <c:pt idx="5">
                  <c:v>Jul</c:v>
                </c:pt>
                <c:pt idx="6">
                  <c:v>Jun</c:v>
                </c:pt>
                <c:pt idx="7">
                  <c:v>Mar</c:v>
                </c:pt>
                <c:pt idx="8">
                  <c:v>May</c:v>
                </c:pt>
                <c:pt idx="9">
                  <c:v>Nov</c:v>
                </c:pt>
                <c:pt idx="10">
                  <c:v>Oct</c:v>
                </c:pt>
                <c:pt idx="11">
                  <c:v>Sep</c:v>
                </c:pt>
              </c:strCache>
            </c:strRef>
          </c:cat>
          <c:val>
            <c:numRef>
              <c:f>'pivot tables'!$K$4:$K$15</c:f>
              <c:numCache>
                <c:formatCode>General</c:formatCode>
                <c:ptCount val="12"/>
                <c:pt idx="0">
                  <c:v>998.61000000000035</c:v>
                </c:pt>
                <c:pt idx="1">
                  <c:v>785.65</c:v>
                </c:pt>
                <c:pt idx="2">
                  <c:v>589.63999999999976</c:v>
                </c:pt>
                <c:pt idx="3">
                  <c:v>686.63</c:v>
                </c:pt>
                <c:pt idx="4">
                  <c:v>732.04000000000019</c:v>
                </c:pt>
                <c:pt idx="5">
                  <c:v>648.93999999999994</c:v>
                </c:pt>
                <c:pt idx="6">
                  <c:v>673.36999999999989</c:v>
                </c:pt>
                <c:pt idx="7">
                  <c:v>778.91</c:v>
                </c:pt>
                <c:pt idx="8">
                  <c:v>648.64999999999986</c:v>
                </c:pt>
                <c:pt idx="9">
                  <c:v>725.24000000000012</c:v>
                </c:pt>
                <c:pt idx="10">
                  <c:v>561.88</c:v>
                </c:pt>
                <c:pt idx="11">
                  <c:v>873.05000000000018</c:v>
                </c:pt>
              </c:numCache>
            </c:numRef>
          </c:val>
          <c:smooth val="0"/>
          <c:extLst>
            <c:ext xmlns:c16="http://schemas.microsoft.com/office/drawing/2014/chart" uri="{C3380CC4-5D6E-409C-BE32-E72D297353CC}">
              <c16:uniqueId val="{00000000-60BF-4FAA-ADEC-FD2C3C71DDB9}"/>
            </c:ext>
          </c:extLst>
        </c:ser>
        <c:ser>
          <c:idx val="1"/>
          <c:order val="1"/>
          <c:tx>
            <c:strRef>
              <c:f>'pivot tables'!$L$3</c:f>
              <c:strCache>
                <c:ptCount val="1"/>
                <c:pt idx="0">
                  <c:v>Sum of Profit2</c:v>
                </c:pt>
              </c:strCache>
            </c:strRef>
          </c:tx>
          <c:spPr>
            <a:ln w="28575" cap="rnd">
              <a:solidFill>
                <a:schemeClr val="accent2"/>
              </a:solidFill>
              <a:round/>
            </a:ln>
            <a:effectLst/>
          </c:spPr>
          <c:marker>
            <c:symbol val="none"/>
          </c:marker>
          <c:cat>
            <c:strRef>
              <c:f>'pivot tables'!$J$4:$J$15</c:f>
              <c:strCache>
                <c:ptCount val="12"/>
                <c:pt idx="0">
                  <c:v>Jan</c:v>
                </c:pt>
                <c:pt idx="1">
                  <c:v>Apr</c:v>
                </c:pt>
                <c:pt idx="2">
                  <c:v>Aug</c:v>
                </c:pt>
                <c:pt idx="3">
                  <c:v>Dec</c:v>
                </c:pt>
                <c:pt idx="4">
                  <c:v>Feb</c:v>
                </c:pt>
                <c:pt idx="5">
                  <c:v>Jul</c:v>
                </c:pt>
                <c:pt idx="6">
                  <c:v>Jun</c:v>
                </c:pt>
                <c:pt idx="7">
                  <c:v>Mar</c:v>
                </c:pt>
                <c:pt idx="8">
                  <c:v>May</c:v>
                </c:pt>
                <c:pt idx="9">
                  <c:v>Nov</c:v>
                </c:pt>
                <c:pt idx="10">
                  <c:v>Oct</c:v>
                </c:pt>
                <c:pt idx="11">
                  <c:v>Sep</c:v>
                </c:pt>
              </c:strCache>
            </c:strRef>
          </c:cat>
          <c:val>
            <c:numRef>
              <c:f>'pivot tables'!$L$4:$L$15</c:f>
              <c:numCache>
                <c:formatCode>0.00%</c:formatCode>
                <c:ptCount val="12"/>
                <c:pt idx="0">
                  <c:v>0.11474833412045367</c:v>
                </c:pt>
                <c:pt idx="1">
                  <c:v>9.0277514446815463E-2</c:v>
                </c:pt>
                <c:pt idx="2">
                  <c:v>6.7754386327779872E-2</c:v>
                </c:pt>
                <c:pt idx="3">
                  <c:v>7.889931871013417E-2</c:v>
                </c:pt>
                <c:pt idx="4">
                  <c:v>8.4117293547568014E-2</c:v>
                </c:pt>
                <c:pt idx="5">
                  <c:v>7.4568434067480968E-2</c:v>
                </c:pt>
                <c:pt idx="6">
                  <c:v>7.7375637883347698E-2</c:v>
                </c:pt>
                <c:pt idx="7">
                  <c:v>8.9503034147227184E-2</c:v>
                </c:pt>
                <c:pt idx="8">
                  <c:v>7.4535110731148532E-2</c:v>
                </c:pt>
                <c:pt idx="9">
                  <c:v>8.33359187646006E-2</c:v>
                </c:pt>
                <c:pt idx="10">
                  <c:v>6.4564538684371758E-2</c:v>
                </c:pt>
                <c:pt idx="11">
                  <c:v>0.10032047856907307</c:v>
                </c:pt>
              </c:numCache>
            </c:numRef>
          </c:val>
          <c:smooth val="0"/>
          <c:extLst>
            <c:ext xmlns:c16="http://schemas.microsoft.com/office/drawing/2014/chart" uri="{C3380CC4-5D6E-409C-BE32-E72D297353CC}">
              <c16:uniqueId val="{00000001-60BF-4FAA-ADEC-FD2C3C71DDB9}"/>
            </c:ext>
          </c:extLst>
        </c:ser>
        <c:dLbls>
          <c:showLegendKey val="0"/>
          <c:showVal val="0"/>
          <c:showCatName val="0"/>
          <c:showSerName val="0"/>
          <c:showPercent val="0"/>
          <c:showBubbleSize val="0"/>
        </c:dLbls>
        <c:smooth val="0"/>
        <c:axId val="993631112"/>
        <c:axId val="993628816"/>
      </c:lineChart>
      <c:catAx>
        <c:axId val="99363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628816"/>
        <c:crosses val="autoZero"/>
        <c:auto val="1"/>
        <c:lblAlgn val="ctr"/>
        <c:lblOffset val="100"/>
        <c:noMultiLvlLbl val="0"/>
      </c:catAx>
      <c:valAx>
        <c:axId val="99362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631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tables!total sales per product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product</a:t>
            </a:r>
          </a:p>
        </c:rich>
      </c:tx>
      <c:layout>
        <c:manualLayout>
          <c:xMode val="edge"/>
          <c:yMode val="edge"/>
          <c:x val="0.29250000000000004"/>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tables'!$O$3</c:f>
              <c:strCache>
                <c:ptCount val="1"/>
                <c:pt idx="0">
                  <c:v>Total</c:v>
                </c:pt>
              </c:strCache>
            </c:strRef>
          </c:tx>
          <c:spPr>
            <a:solidFill>
              <a:schemeClr val="accent1"/>
            </a:solidFill>
            <a:ln>
              <a:noFill/>
            </a:ln>
            <a:effectLst/>
          </c:spPr>
          <c:invertIfNegative val="0"/>
          <c:cat>
            <c:strRef>
              <c:f>'pivot tables'!$N$4:$N$47</c:f>
              <c:strCache>
                <c:ptCount val="44"/>
                <c:pt idx="0">
                  <c:v>P0001</c:v>
                </c:pt>
                <c:pt idx="1">
                  <c:v>P0002</c:v>
                </c:pt>
                <c:pt idx="2">
                  <c:v>P0003</c:v>
                </c:pt>
                <c:pt idx="3">
                  <c:v>P0004</c:v>
                </c:pt>
                <c:pt idx="4">
                  <c:v>P0005</c:v>
                </c:pt>
                <c:pt idx="5">
                  <c:v>P0006</c:v>
                </c:pt>
                <c:pt idx="6">
                  <c:v>P0007</c:v>
                </c:pt>
                <c:pt idx="7">
                  <c:v>P0008</c:v>
                </c:pt>
                <c:pt idx="8">
                  <c:v>P0009</c:v>
                </c:pt>
                <c:pt idx="9">
                  <c:v>P0010</c:v>
                </c:pt>
                <c:pt idx="10">
                  <c:v>P0011</c:v>
                </c:pt>
                <c:pt idx="11">
                  <c:v>P0012</c:v>
                </c:pt>
                <c:pt idx="12">
                  <c:v>P0013</c:v>
                </c:pt>
                <c:pt idx="13">
                  <c:v>P0014</c:v>
                </c:pt>
                <c:pt idx="14">
                  <c:v>P0015</c:v>
                </c:pt>
                <c:pt idx="15">
                  <c:v>P0016</c:v>
                </c:pt>
                <c:pt idx="16">
                  <c:v>P0017</c:v>
                </c:pt>
                <c:pt idx="17">
                  <c:v>P0018</c:v>
                </c:pt>
                <c:pt idx="18">
                  <c:v>P0019</c:v>
                </c:pt>
                <c:pt idx="19">
                  <c:v>P0020</c:v>
                </c:pt>
                <c:pt idx="20">
                  <c:v>P0021</c:v>
                </c:pt>
                <c:pt idx="21">
                  <c:v>P0022</c:v>
                </c:pt>
                <c:pt idx="22">
                  <c:v>P0023</c:v>
                </c:pt>
                <c:pt idx="23">
                  <c:v>P0024</c:v>
                </c:pt>
                <c:pt idx="24">
                  <c:v>P0025</c:v>
                </c:pt>
                <c:pt idx="25">
                  <c:v>P0026</c:v>
                </c:pt>
                <c:pt idx="26">
                  <c:v>P0027</c:v>
                </c:pt>
                <c:pt idx="27">
                  <c:v>P0028</c:v>
                </c:pt>
                <c:pt idx="28">
                  <c:v>P0029</c:v>
                </c:pt>
                <c:pt idx="29">
                  <c:v>P0030</c:v>
                </c:pt>
                <c:pt idx="30">
                  <c:v>P0031</c:v>
                </c:pt>
                <c:pt idx="31">
                  <c:v>P0032</c:v>
                </c:pt>
                <c:pt idx="32">
                  <c:v>P0033</c:v>
                </c:pt>
                <c:pt idx="33">
                  <c:v>P0034</c:v>
                </c:pt>
                <c:pt idx="34">
                  <c:v>P0035</c:v>
                </c:pt>
                <c:pt idx="35">
                  <c:v>P0036</c:v>
                </c:pt>
                <c:pt idx="36">
                  <c:v>P0037</c:v>
                </c:pt>
                <c:pt idx="37">
                  <c:v>P0038</c:v>
                </c:pt>
                <c:pt idx="38">
                  <c:v>P0039</c:v>
                </c:pt>
                <c:pt idx="39">
                  <c:v>P0040</c:v>
                </c:pt>
                <c:pt idx="40">
                  <c:v>P0041</c:v>
                </c:pt>
                <c:pt idx="41">
                  <c:v>P0042</c:v>
                </c:pt>
                <c:pt idx="42">
                  <c:v>P0043</c:v>
                </c:pt>
                <c:pt idx="43">
                  <c:v>P0044</c:v>
                </c:pt>
              </c:strCache>
            </c:strRef>
          </c:cat>
          <c:val>
            <c:numRef>
              <c:f>'pivot tables'!$O$4:$O$47</c:f>
              <c:numCache>
                <c:formatCode>General</c:formatCode>
                <c:ptCount val="44"/>
                <c:pt idx="0">
                  <c:v>1350.44</c:v>
                </c:pt>
                <c:pt idx="1">
                  <c:v>2141.9999999999995</c:v>
                </c:pt>
                <c:pt idx="2">
                  <c:v>890.34000000000015</c:v>
                </c:pt>
                <c:pt idx="3">
                  <c:v>732.60000000000025</c:v>
                </c:pt>
                <c:pt idx="4">
                  <c:v>2178.5400000000009</c:v>
                </c:pt>
                <c:pt idx="5">
                  <c:v>684</c:v>
                </c:pt>
                <c:pt idx="6">
                  <c:v>238.65000000000003</c:v>
                </c:pt>
                <c:pt idx="7">
                  <c:v>1040.8200000000002</c:v>
                </c:pt>
                <c:pt idx="8">
                  <c:v>78.599999999999994</c:v>
                </c:pt>
                <c:pt idx="9">
                  <c:v>1971.36</c:v>
                </c:pt>
                <c:pt idx="10">
                  <c:v>677.5999999999998</c:v>
                </c:pt>
                <c:pt idx="11">
                  <c:v>1318.38</c:v>
                </c:pt>
                <c:pt idx="12">
                  <c:v>1098.72</c:v>
                </c:pt>
                <c:pt idx="13">
                  <c:v>1613.92</c:v>
                </c:pt>
                <c:pt idx="14">
                  <c:v>204.35999999999999</c:v>
                </c:pt>
                <c:pt idx="15">
                  <c:v>249.59999999999991</c:v>
                </c:pt>
                <c:pt idx="16">
                  <c:v>940.68</c:v>
                </c:pt>
                <c:pt idx="17">
                  <c:v>590.52</c:v>
                </c:pt>
                <c:pt idx="18">
                  <c:v>2520</c:v>
                </c:pt>
                <c:pt idx="19">
                  <c:v>838.75</c:v>
                </c:pt>
                <c:pt idx="20">
                  <c:v>1462.86</c:v>
                </c:pt>
                <c:pt idx="21">
                  <c:v>1132.5599999999997</c:v>
                </c:pt>
                <c:pt idx="22">
                  <c:v>1494.6000000000001</c:v>
                </c:pt>
                <c:pt idx="23">
                  <c:v>941.7600000000001</c:v>
                </c:pt>
                <c:pt idx="24">
                  <c:v>83.3</c:v>
                </c:pt>
                <c:pt idx="25">
                  <c:v>345.24000000000007</c:v>
                </c:pt>
                <c:pt idx="26">
                  <c:v>971.04000000000008</c:v>
                </c:pt>
                <c:pt idx="27">
                  <c:v>543.53</c:v>
                </c:pt>
                <c:pt idx="28">
                  <c:v>796.65000000000009</c:v>
                </c:pt>
                <c:pt idx="29">
                  <c:v>2817.9200000000005</c:v>
                </c:pt>
                <c:pt idx="30">
                  <c:v>624.95999999999992</c:v>
                </c:pt>
                <c:pt idx="31">
                  <c:v>1879.68</c:v>
                </c:pt>
                <c:pt idx="32">
                  <c:v>1556.1000000000004</c:v>
                </c:pt>
                <c:pt idx="33">
                  <c:v>1107.6999999999996</c:v>
                </c:pt>
                <c:pt idx="34">
                  <c:v>87.100000000000023</c:v>
                </c:pt>
                <c:pt idx="35">
                  <c:v>866.69999999999982</c:v>
                </c:pt>
                <c:pt idx="36">
                  <c:v>771.84</c:v>
                </c:pt>
                <c:pt idx="37">
                  <c:v>1118.8799999999999</c:v>
                </c:pt>
                <c:pt idx="38">
                  <c:v>382.95000000000005</c:v>
                </c:pt>
                <c:pt idx="39">
                  <c:v>1152.0000000000002</c:v>
                </c:pt>
                <c:pt idx="40">
                  <c:v>2608.2000000000007</c:v>
                </c:pt>
                <c:pt idx="41">
                  <c:v>3240</c:v>
                </c:pt>
                <c:pt idx="42">
                  <c:v>664.64</c:v>
                </c:pt>
                <c:pt idx="43">
                  <c:v>1559.5199999999998</c:v>
                </c:pt>
              </c:numCache>
            </c:numRef>
          </c:val>
          <c:extLst>
            <c:ext xmlns:c16="http://schemas.microsoft.com/office/drawing/2014/chart" uri="{C3380CC4-5D6E-409C-BE32-E72D297353CC}">
              <c16:uniqueId val="{00000000-7247-46E4-A9B3-A1581C037103}"/>
            </c:ext>
          </c:extLst>
        </c:ser>
        <c:dLbls>
          <c:showLegendKey val="0"/>
          <c:showVal val="0"/>
          <c:showCatName val="0"/>
          <c:showSerName val="0"/>
          <c:showPercent val="0"/>
          <c:showBubbleSize val="0"/>
        </c:dLbls>
        <c:gapWidth val="219"/>
        <c:overlap val="-27"/>
        <c:axId val="9325775"/>
        <c:axId val="9326103"/>
      </c:barChart>
      <c:catAx>
        <c:axId val="932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103"/>
        <c:crosses val="autoZero"/>
        <c:auto val="1"/>
        <c:lblAlgn val="ctr"/>
        <c:lblOffset val="100"/>
        <c:noMultiLvlLbl val="0"/>
      </c:catAx>
      <c:valAx>
        <c:axId val="9326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tables!total sales per 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tables'!$AI$3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tables'!$AH$4:$AH$8</c:f>
              <c:strCache>
                <c:ptCount val="5"/>
                <c:pt idx="0">
                  <c:v>Category01</c:v>
                </c:pt>
                <c:pt idx="1">
                  <c:v>Category02</c:v>
                </c:pt>
                <c:pt idx="2">
                  <c:v>Category03</c:v>
                </c:pt>
                <c:pt idx="3">
                  <c:v>Category04</c:v>
                </c:pt>
                <c:pt idx="4">
                  <c:v>Category05</c:v>
                </c:pt>
              </c:strCache>
            </c:strRef>
          </c:cat>
          <c:val>
            <c:numRef>
              <c:f>'pivot tables'!$AI$4:$AI$8</c:f>
              <c:numCache>
                <c:formatCode>General</c:formatCode>
                <c:ptCount val="5"/>
                <c:pt idx="0">
                  <c:v>9335.989999999998</c:v>
                </c:pt>
                <c:pt idx="1">
                  <c:v>11185.139999999992</c:v>
                </c:pt>
                <c:pt idx="2">
                  <c:v>5953.829999999999</c:v>
                </c:pt>
                <c:pt idx="3">
                  <c:v>11596.619999999997</c:v>
                </c:pt>
                <c:pt idx="4">
                  <c:v>11498.03</c:v>
                </c:pt>
              </c:numCache>
            </c:numRef>
          </c:val>
          <c:extLst>
            <c:ext xmlns:c16="http://schemas.microsoft.com/office/drawing/2014/chart" uri="{C3380CC4-5D6E-409C-BE32-E72D297353CC}">
              <c16:uniqueId val="{0000000A-8A48-48D0-A248-1627390615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tables!percentage of sales  per sales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sales  per sales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barChart>
        <c:barDir val="col"/>
        <c:grouping val="stacked"/>
        <c:varyColors val="0"/>
        <c:ser>
          <c:idx val="0"/>
          <c:order val="0"/>
          <c:tx>
            <c:strRef>
              <c:f>'pivot tables'!$S$3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dPt>
          <c:dPt>
            <c:idx val="1"/>
            <c:invertIfNegative val="0"/>
            <c:bubble3D val="0"/>
            <c:spPr>
              <a:solidFill>
                <a:schemeClr val="accent1"/>
              </a:solidFill>
              <a:ln w="19050">
                <a:solidFill>
                  <a:schemeClr val="lt1"/>
                </a:solidFill>
              </a:ln>
              <a:effectLst/>
            </c:spPr>
          </c:dPt>
          <c:dPt>
            <c:idx val="2"/>
            <c:invertIfNegative val="0"/>
            <c:bubble3D val="0"/>
            <c:spPr>
              <a:solidFill>
                <a:schemeClr val="accent1"/>
              </a:solidFill>
              <a:ln w="19050">
                <a:solidFill>
                  <a:schemeClr val="lt1"/>
                </a:solidFill>
              </a:ln>
              <a:effectLst/>
            </c:spPr>
          </c:dPt>
          <c:cat>
            <c:strRef>
              <c:f>'pivot tables'!$R$4:$R$6</c:f>
              <c:strCache>
                <c:ptCount val="3"/>
                <c:pt idx="0">
                  <c:v>Direct Sales</c:v>
                </c:pt>
                <c:pt idx="1">
                  <c:v>Online</c:v>
                </c:pt>
                <c:pt idx="2">
                  <c:v>Wholesaler</c:v>
                </c:pt>
              </c:strCache>
            </c:strRef>
          </c:cat>
          <c:val>
            <c:numRef>
              <c:f>'pivot tables'!$S$4:$S$6</c:f>
              <c:numCache>
                <c:formatCode>0.00%</c:formatCode>
                <c:ptCount val="3"/>
                <c:pt idx="0">
                  <c:v>0.52695754515720339</c:v>
                </c:pt>
                <c:pt idx="1">
                  <c:v>0.31520300442145849</c:v>
                </c:pt>
                <c:pt idx="2">
                  <c:v>0.1578394504213366</c:v>
                </c:pt>
              </c:numCache>
            </c:numRef>
          </c:val>
          <c:extLst>
            <c:ext xmlns:c16="http://schemas.microsoft.com/office/drawing/2014/chart" uri="{C3380CC4-5D6E-409C-BE32-E72D297353CC}">
              <c16:uniqueId val="{00000006-6A29-4F75-9CDA-3D3ED361E234}"/>
            </c:ext>
          </c:extLst>
        </c:ser>
        <c:dLbls>
          <c:showLegendKey val="0"/>
          <c:showVal val="0"/>
          <c:showCatName val="0"/>
          <c:showSerName val="0"/>
          <c:showPercent val="0"/>
          <c:showBubbleSize val="0"/>
        </c:dLbls>
        <c:gapWidth val="100"/>
        <c:overlap val="100"/>
        <c:axId val="503722280"/>
        <c:axId val="503728184"/>
      </c:barChart>
      <c:catAx>
        <c:axId val="503722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28184"/>
        <c:crosses val="autoZero"/>
        <c:auto val="1"/>
        <c:lblAlgn val="ctr"/>
        <c:lblOffset val="100"/>
        <c:noMultiLvlLbl val="0"/>
      </c:catAx>
      <c:valAx>
        <c:axId val="503728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2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tables!top category  per profit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category  per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tables'!$AE$3</c:f>
              <c:strCache>
                <c:ptCount val="1"/>
                <c:pt idx="0">
                  <c:v>Total</c:v>
                </c:pt>
              </c:strCache>
            </c:strRef>
          </c:tx>
          <c:spPr>
            <a:solidFill>
              <a:schemeClr val="accent1"/>
            </a:solidFill>
            <a:ln>
              <a:noFill/>
            </a:ln>
            <a:effectLst/>
          </c:spPr>
          <c:invertIfNegative val="0"/>
          <c:cat>
            <c:strRef>
              <c:f>'pivot tables'!$AD$4:$AD$8</c:f>
              <c:strCache>
                <c:ptCount val="5"/>
                <c:pt idx="0">
                  <c:v>Category01</c:v>
                </c:pt>
                <c:pt idx="1">
                  <c:v>Category02</c:v>
                </c:pt>
                <c:pt idx="2">
                  <c:v>Category03</c:v>
                </c:pt>
                <c:pt idx="3">
                  <c:v>Category04</c:v>
                </c:pt>
                <c:pt idx="4">
                  <c:v>Category05</c:v>
                </c:pt>
              </c:strCache>
            </c:strRef>
          </c:cat>
          <c:val>
            <c:numRef>
              <c:f>'pivot tables'!$AE$4:$AE$8</c:f>
              <c:numCache>
                <c:formatCode>General</c:formatCode>
                <c:ptCount val="5"/>
                <c:pt idx="0">
                  <c:v>1395.9900000000002</c:v>
                </c:pt>
                <c:pt idx="1">
                  <c:v>2132.1400000000008</c:v>
                </c:pt>
                <c:pt idx="2">
                  <c:v>836.83000000000038</c:v>
                </c:pt>
                <c:pt idx="3">
                  <c:v>2133.6200000000003</c:v>
                </c:pt>
                <c:pt idx="4">
                  <c:v>2204.0300000000002</c:v>
                </c:pt>
              </c:numCache>
            </c:numRef>
          </c:val>
          <c:extLst>
            <c:ext xmlns:c16="http://schemas.microsoft.com/office/drawing/2014/chart" uri="{C3380CC4-5D6E-409C-BE32-E72D297353CC}">
              <c16:uniqueId val="{00000000-3A05-4A61-8AFD-606035CFE66B}"/>
            </c:ext>
          </c:extLst>
        </c:ser>
        <c:dLbls>
          <c:showLegendKey val="0"/>
          <c:showVal val="0"/>
          <c:showCatName val="0"/>
          <c:showSerName val="0"/>
          <c:showPercent val="0"/>
          <c:showBubbleSize val="0"/>
        </c:dLbls>
        <c:gapWidth val="182"/>
        <c:axId val="7960567"/>
        <c:axId val="7966143"/>
      </c:barChart>
      <c:catAx>
        <c:axId val="7960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6143"/>
        <c:crosses val="autoZero"/>
        <c:auto val="1"/>
        <c:lblAlgn val="ctr"/>
        <c:lblOffset val="100"/>
        <c:noMultiLvlLbl val="0"/>
      </c:catAx>
      <c:valAx>
        <c:axId val="7966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tables!total &amp; percentage  profit per month</c:name>
    <c:fmtId val="9"/>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total &amp; percentage  profit per month</a:t>
            </a:r>
          </a:p>
        </c:rich>
      </c:tx>
      <c:layout>
        <c:manualLayout>
          <c:xMode val="edge"/>
          <c:yMode val="edge"/>
          <c:x val="0.28904137766478244"/>
          <c:y val="7.00376420918915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1232492997199E-2"/>
          <c:y val="0.41272561392154744"/>
          <c:w val="0.95228192064227268"/>
          <c:h val="0.34196733541868912"/>
        </c:manualLayout>
      </c:layout>
      <c:lineChart>
        <c:grouping val="standard"/>
        <c:varyColors val="0"/>
        <c:ser>
          <c:idx val="0"/>
          <c:order val="0"/>
          <c:tx>
            <c:strRef>
              <c:f>'pivot tables'!$K$3</c:f>
              <c:strCache>
                <c:ptCount val="1"/>
                <c:pt idx="0">
                  <c:v>Sum of Profit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tables'!$J$4:$J$15</c:f>
              <c:strCache>
                <c:ptCount val="12"/>
                <c:pt idx="0">
                  <c:v>Jan</c:v>
                </c:pt>
                <c:pt idx="1">
                  <c:v>Apr</c:v>
                </c:pt>
                <c:pt idx="2">
                  <c:v>Aug</c:v>
                </c:pt>
                <c:pt idx="3">
                  <c:v>Dec</c:v>
                </c:pt>
                <c:pt idx="4">
                  <c:v>Feb</c:v>
                </c:pt>
                <c:pt idx="5">
                  <c:v>Jul</c:v>
                </c:pt>
                <c:pt idx="6">
                  <c:v>Jun</c:v>
                </c:pt>
                <c:pt idx="7">
                  <c:v>Mar</c:v>
                </c:pt>
                <c:pt idx="8">
                  <c:v>May</c:v>
                </c:pt>
                <c:pt idx="9">
                  <c:v>Nov</c:v>
                </c:pt>
                <c:pt idx="10">
                  <c:v>Oct</c:v>
                </c:pt>
                <c:pt idx="11">
                  <c:v>Sep</c:v>
                </c:pt>
              </c:strCache>
            </c:strRef>
          </c:cat>
          <c:val>
            <c:numRef>
              <c:f>'pivot tables'!$K$4:$K$15</c:f>
              <c:numCache>
                <c:formatCode>General</c:formatCode>
                <c:ptCount val="12"/>
                <c:pt idx="0">
                  <c:v>998.61000000000035</c:v>
                </c:pt>
                <c:pt idx="1">
                  <c:v>785.65</c:v>
                </c:pt>
                <c:pt idx="2">
                  <c:v>589.63999999999976</c:v>
                </c:pt>
                <c:pt idx="3">
                  <c:v>686.63</c:v>
                </c:pt>
                <c:pt idx="4">
                  <c:v>732.04000000000019</c:v>
                </c:pt>
                <c:pt idx="5">
                  <c:v>648.93999999999994</c:v>
                </c:pt>
                <c:pt idx="6">
                  <c:v>673.36999999999989</c:v>
                </c:pt>
                <c:pt idx="7">
                  <c:v>778.91</c:v>
                </c:pt>
                <c:pt idx="8">
                  <c:v>648.64999999999986</c:v>
                </c:pt>
                <c:pt idx="9">
                  <c:v>725.24000000000012</c:v>
                </c:pt>
                <c:pt idx="10">
                  <c:v>561.88</c:v>
                </c:pt>
                <c:pt idx="11">
                  <c:v>873.05000000000018</c:v>
                </c:pt>
              </c:numCache>
            </c:numRef>
          </c:val>
          <c:smooth val="0"/>
          <c:extLst>
            <c:ext xmlns:c16="http://schemas.microsoft.com/office/drawing/2014/chart" uri="{C3380CC4-5D6E-409C-BE32-E72D297353CC}">
              <c16:uniqueId val="{00000001-B992-452C-84CC-744A15999029}"/>
            </c:ext>
          </c:extLst>
        </c:ser>
        <c:ser>
          <c:idx val="1"/>
          <c:order val="1"/>
          <c:tx>
            <c:strRef>
              <c:f>'pivot tables'!$L$3</c:f>
              <c:strCache>
                <c:ptCount val="1"/>
                <c:pt idx="0">
                  <c:v>Sum of Profit2</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tables'!$J$4:$J$15</c:f>
              <c:strCache>
                <c:ptCount val="12"/>
                <c:pt idx="0">
                  <c:v>Jan</c:v>
                </c:pt>
                <c:pt idx="1">
                  <c:v>Apr</c:v>
                </c:pt>
                <c:pt idx="2">
                  <c:v>Aug</c:v>
                </c:pt>
                <c:pt idx="3">
                  <c:v>Dec</c:v>
                </c:pt>
                <c:pt idx="4">
                  <c:v>Feb</c:v>
                </c:pt>
                <c:pt idx="5">
                  <c:v>Jul</c:v>
                </c:pt>
                <c:pt idx="6">
                  <c:v>Jun</c:v>
                </c:pt>
                <c:pt idx="7">
                  <c:v>Mar</c:v>
                </c:pt>
                <c:pt idx="8">
                  <c:v>May</c:v>
                </c:pt>
                <c:pt idx="9">
                  <c:v>Nov</c:v>
                </c:pt>
                <c:pt idx="10">
                  <c:v>Oct</c:v>
                </c:pt>
                <c:pt idx="11">
                  <c:v>Sep</c:v>
                </c:pt>
              </c:strCache>
            </c:strRef>
          </c:cat>
          <c:val>
            <c:numRef>
              <c:f>'pivot tables'!$L$4:$L$15</c:f>
              <c:numCache>
                <c:formatCode>0.00%</c:formatCode>
                <c:ptCount val="12"/>
                <c:pt idx="0">
                  <c:v>0.11474833412045367</c:v>
                </c:pt>
                <c:pt idx="1">
                  <c:v>9.0277514446815463E-2</c:v>
                </c:pt>
                <c:pt idx="2">
                  <c:v>6.7754386327779872E-2</c:v>
                </c:pt>
                <c:pt idx="3">
                  <c:v>7.889931871013417E-2</c:v>
                </c:pt>
                <c:pt idx="4">
                  <c:v>8.4117293547568014E-2</c:v>
                </c:pt>
                <c:pt idx="5">
                  <c:v>7.4568434067480968E-2</c:v>
                </c:pt>
                <c:pt idx="6">
                  <c:v>7.7375637883347698E-2</c:v>
                </c:pt>
                <c:pt idx="7">
                  <c:v>8.9503034147227184E-2</c:v>
                </c:pt>
                <c:pt idx="8">
                  <c:v>7.4535110731148532E-2</c:v>
                </c:pt>
                <c:pt idx="9">
                  <c:v>8.33359187646006E-2</c:v>
                </c:pt>
                <c:pt idx="10">
                  <c:v>6.4564538684371758E-2</c:v>
                </c:pt>
                <c:pt idx="11">
                  <c:v>0.10032047856907307</c:v>
                </c:pt>
              </c:numCache>
            </c:numRef>
          </c:val>
          <c:smooth val="0"/>
          <c:extLst>
            <c:ext xmlns:c16="http://schemas.microsoft.com/office/drawing/2014/chart" uri="{C3380CC4-5D6E-409C-BE32-E72D297353CC}">
              <c16:uniqueId val="{00000002-B992-452C-84CC-744A15999029}"/>
            </c:ext>
          </c:extLst>
        </c:ser>
        <c:dLbls>
          <c:dLblPos val="t"/>
          <c:showLegendKey val="0"/>
          <c:showVal val="1"/>
          <c:showCatName val="0"/>
          <c:showSerName val="0"/>
          <c:showPercent val="0"/>
          <c:showBubbleSize val="0"/>
        </c:dLbls>
        <c:marker val="1"/>
        <c:smooth val="0"/>
        <c:axId val="993631112"/>
        <c:axId val="993628816"/>
      </c:lineChart>
      <c:catAx>
        <c:axId val="993631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3628816"/>
        <c:crosses val="autoZero"/>
        <c:auto val="1"/>
        <c:lblAlgn val="ctr"/>
        <c:lblOffset val="100"/>
        <c:noMultiLvlLbl val="0"/>
      </c:catAx>
      <c:valAx>
        <c:axId val="993628816"/>
        <c:scaling>
          <c:orientation val="minMax"/>
        </c:scaling>
        <c:delete val="1"/>
        <c:axPos val="l"/>
        <c:numFmt formatCode="General" sourceLinked="1"/>
        <c:majorTickMark val="none"/>
        <c:minorTickMark val="none"/>
        <c:tickLblPos val="nextTo"/>
        <c:crossAx val="993631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tables!total sales per product</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per product</a:t>
            </a:r>
          </a:p>
        </c:rich>
      </c:tx>
      <c:layout>
        <c:manualLayout>
          <c:xMode val="edge"/>
          <c:yMode val="edge"/>
          <c:x val="0.3003369288870239"/>
          <c:y val="5.43491428119980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56184657519817E-3"/>
          <c:y val="0.22282630641069531"/>
          <c:w val="0.93868450390189517"/>
          <c:h val="0.57035525241619045"/>
        </c:manualLayout>
      </c:layout>
      <c:barChart>
        <c:barDir val="col"/>
        <c:grouping val="clustered"/>
        <c:varyColors val="0"/>
        <c:ser>
          <c:idx val="0"/>
          <c:order val="0"/>
          <c:tx>
            <c:strRef>
              <c:f>'pivot tables'!$O$3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tables'!$N$4:$N$47</c:f>
              <c:strCache>
                <c:ptCount val="44"/>
                <c:pt idx="0">
                  <c:v>P0001</c:v>
                </c:pt>
                <c:pt idx="1">
                  <c:v>P0002</c:v>
                </c:pt>
                <c:pt idx="2">
                  <c:v>P0003</c:v>
                </c:pt>
                <c:pt idx="3">
                  <c:v>P0004</c:v>
                </c:pt>
                <c:pt idx="4">
                  <c:v>P0005</c:v>
                </c:pt>
                <c:pt idx="5">
                  <c:v>P0006</c:v>
                </c:pt>
                <c:pt idx="6">
                  <c:v>P0007</c:v>
                </c:pt>
                <c:pt idx="7">
                  <c:v>P0008</c:v>
                </c:pt>
                <c:pt idx="8">
                  <c:v>P0009</c:v>
                </c:pt>
                <c:pt idx="9">
                  <c:v>P0010</c:v>
                </c:pt>
                <c:pt idx="10">
                  <c:v>P0011</c:v>
                </c:pt>
                <c:pt idx="11">
                  <c:v>P0012</c:v>
                </c:pt>
                <c:pt idx="12">
                  <c:v>P0013</c:v>
                </c:pt>
                <c:pt idx="13">
                  <c:v>P0014</c:v>
                </c:pt>
                <c:pt idx="14">
                  <c:v>P0015</c:v>
                </c:pt>
                <c:pt idx="15">
                  <c:v>P0016</c:v>
                </c:pt>
                <c:pt idx="16">
                  <c:v>P0017</c:v>
                </c:pt>
                <c:pt idx="17">
                  <c:v>P0018</c:v>
                </c:pt>
                <c:pt idx="18">
                  <c:v>P0019</c:v>
                </c:pt>
                <c:pt idx="19">
                  <c:v>P0020</c:v>
                </c:pt>
                <c:pt idx="20">
                  <c:v>P0021</c:v>
                </c:pt>
                <c:pt idx="21">
                  <c:v>P0022</c:v>
                </c:pt>
                <c:pt idx="22">
                  <c:v>P0023</c:v>
                </c:pt>
                <c:pt idx="23">
                  <c:v>P0024</c:v>
                </c:pt>
                <c:pt idx="24">
                  <c:v>P0025</c:v>
                </c:pt>
                <c:pt idx="25">
                  <c:v>P0026</c:v>
                </c:pt>
                <c:pt idx="26">
                  <c:v>P0027</c:v>
                </c:pt>
                <c:pt idx="27">
                  <c:v>P0028</c:v>
                </c:pt>
                <c:pt idx="28">
                  <c:v>P0029</c:v>
                </c:pt>
                <c:pt idx="29">
                  <c:v>P0030</c:v>
                </c:pt>
                <c:pt idx="30">
                  <c:v>P0031</c:v>
                </c:pt>
                <c:pt idx="31">
                  <c:v>P0032</c:v>
                </c:pt>
                <c:pt idx="32">
                  <c:v>P0033</c:v>
                </c:pt>
                <c:pt idx="33">
                  <c:v>P0034</c:v>
                </c:pt>
                <c:pt idx="34">
                  <c:v>P0035</c:v>
                </c:pt>
                <c:pt idx="35">
                  <c:v>P0036</c:v>
                </c:pt>
                <c:pt idx="36">
                  <c:v>P0037</c:v>
                </c:pt>
                <c:pt idx="37">
                  <c:v>P0038</c:v>
                </c:pt>
                <c:pt idx="38">
                  <c:v>P0039</c:v>
                </c:pt>
                <c:pt idx="39">
                  <c:v>P0040</c:v>
                </c:pt>
                <c:pt idx="40">
                  <c:v>P0041</c:v>
                </c:pt>
                <c:pt idx="41">
                  <c:v>P0042</c:v>
                </c:pt>
                <c:pt idx="42">
                  <c:v>P0043</c:v>
                </c:pt>
                <c:pt idx="43">
                  <c:v>P0044</c:v>
                </c:pt>
              </c:strCache>
            </c:strRef>
          </c:cat>
          <c:val>
            <c:numRef>
              <c:f>'pivot tables'!$O$4:$O$47</c:f>
              <c:numCache>
                <c:formatCode>General</c:formatCode>
                <c:ptCount val="44"/>
                <c:pt idx="0">
                  <c:v>1350.44</c:v>
                </c:pt>
                <c:pt idx="1">
                  <c:v>2141.9999999999995</c:v>
                </c:pt>
                <c:pt idx="2">
                  <c:v>890.34000000000015</c:v>
                </c:pt>
                <c:pt idx="3">
                  <c:v>732.60000000000025</c:v>
                </c:pt>
                <c:pt idx="4">
                  <c:v>2178.5400000000009</c:v>
                </c:pt>
                <c:pt idx="5">
                  <c:v>684</c:v>
                </c:pt>
                <c:pt idx="6">
                  <c:v>238.65000000000003</c:v>
                </c:pt>
                <c:pt idx="7">
                  <c:v>1040.8200000000002</c:v>
                </c:pt>
                <c:pt idx="8">
                  <c:v>78.599999999999994</c:v>
                </c:pt>
                <c:pt idx="9">
                  <c:v>1971.36</c:v>
                </c:pt>
                <c:pt idx="10">
                  <c:v>677.5999999999998</c:v>
                </c:pt>
                <c:pt idx="11">
                  <c:v>1318.38</c:v>
                </c:pt>
                <c:pt idx="12">
                  <c:v>1098.72</c:v>
                </c:pt>
                <c:pt idx="13">
                  <c:v>1613.92</c:v>
                </c:pt>
                <c:pt idx="14">
                  <c:v>204.35999999999999</c:v>
                </c:pt>
                <c:pt idx="15">
                  <c:v>249.59999999999991</c:v>
                </c:pt>
                <c:pt idx="16">
                  <c:v>940.68</c:v>
                </c:pt>
                <c:pt idx="17">
                  <c:v>590.52</c:v>
                </c:pt>
                <c:pt idx="18">
                  <c:v>2520</c:v>
                </c:pt>
                <c:pt idx="19">
                  <c:v>838.75</c:v>
                </c:pt>
                <c:pt idx="20">
                  <c:v>1462.86</c:v>
                </c:pt>
                <c:pt idx="21">
                  <c:v>1132.5599999999997</c:v>
                </c:pt>
                <c:pt idx="22">
                  <c:v>1494.6000000000001</c:v>
                </c:pt>
                <c:pt idx="23">
                  <c:v>941.7600000000001</c:v>
                </c:pt>
                <c:pt idx="24">
                  <c:v>83.3</c:v>
                </c:pt>
                <c:pt idx="25">
                  <c:v>345.24000000000007</c:v>
                </c:pt>
                <c:pt idx="26">
                  <c:v>971.04000000000008</c:v>
                </c:pt>
                <c:pt idx="27">
                  <c:v>543.53</c:v>
                </c:pt>
                <c:pt idx="28">
                  <c:v>796.65000000000009</c:v>
                </c:pt>
                <c:pt idx="29">
                  <c:v>2817.9200000000005</c:v>
                </c:pt>
                <c:pt idx="30">
                  <c:v>624.95999999999992</c:v>
                </c:pt>
                <c:pt idx="31">
                  <c:v>1879.68</c:v>
                </c:pt>
                <c:pt idx="32">
                  <c:v>1556.1000000000004</c:v>
                </c:pt>
                <c:pt idx="33">
                  <c:v>1107.6999999999996</c:v>
                </c:pt>
                <c:pt idx="34">
                  <c:v>87.100000000000023</c:v>
                </c:pt>
                <c:pt idx="35">
                  <c:v>866.69999999999982</c:v>
                </c:pt>
                <c:pt idx="36">
                  <c:v>771.84</c:v>
                </c:pt>
                <c:pt idx="37">
                  <c:v>1118.8799999999999</c:v>
                </c:pt>
                <c:pt idx="38">
                  <c:v>382.95000000000005</c:v>
                </c:pt>
                <c:pt idx="39">
                  <c:v>1152.0000000000002</c:v>
                </c:pt>
                <c:pt idx="40">
                  <c:v>2608.2000000000007</c:v>
                </c:pt>
                <c:pt idx="41">
                  <c:v>3240</c:v>
                </c:pt>
                <c:pt idx="42">
                  <c:v>664.64</c:v>
                </c:pt>
                <c:pt idx="43">
                  <c:v>1559.5199999999998</c:v>
                </c:pt>
              </c:numCache>
            </c:numRef>
          </c:val>
          <c:extLst>
            <c:ext xmlns:c16="http://schemas.microsoft.com/office/drawing/2014/chart" uri="{C3380CC4-5D6E-409C-BE32-E72D297353CC}">
              <c16:uniqueId val="{00000001-362D-4652-89F6-288AC343FA88}"/>
            </c:ext>
          </c:extLst>
        </c:ser>
        <c:dLbls>
          <c:showLegendKey val="0"/>
          <c:showVal val="0"/>
          <c:showCatName val="0"/>
          <c:showSerName val="0"/>
          <c:showPercent val="0"/>
          <c:showBubbleSize val="0"/>
        </c:dLbls>
        <c:gapWidth val="65"/>
        <c:axId val="9325775"/>
        <c:axId val="9326103"/>
      </c:barChart>
      <c:catAx>
        <c:axId val="9325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26103"/>
        <c:crosses val="autoZero"/>
        <c:auto val="1"/>
        <c:lblAlgn val="ctr"/>
        <c:lblOffset val="100"/>
        <c:noMultiLvlLbl val="0"/>
      </c:catAx>
      <c:valAx>
        <c:axId val="9326103"/>
        <c:scaling>
          <c:orientation val="minMax"/>
        </c:scaling>
        <c:delete val="1"/>
        <c:axPos val="l"/>
        <c:numFmt formatCode="General" sourceLinked="1"/>
        <c:majorTickMark val="none"/>
        <c:minorTickMark val="none"/>
        <c:tickLblPos val="nextTo"/>
        <c:crossAx val="932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tables!percentage of sales  per sales type</c:name>
    <c:fmtId val="5"/>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percentage of sales  per sales type</a:t>
            </a:r>
            <a:endParaRPr lang="en-AE"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pivotFmt>
      <c:pivotFmt>
        <c:idx val="15"/>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'pivot tables'!$S$3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tables'!$R$4:$R$6</c:f>
              <c:strCache>
                <c:ptCount val="3"/>
                <c:pt idx="0">
                  <c:v>Direct Sales</c:v>
                </c:pt>
                <c:pt idx="1">
                  <c:v>Online</c:v>
                </c:pt>
                <c:pt idx="2">
                  <c:v>Wholesaler</c:v>
                </c:pt>
              </c:strCache>
            </c:strRef>
          </c:cat>
          <c:val>
            <c:numRef>
              <c:f>'pivot tables'!$S$4:$S$6</c:f>
              <c:numCache>
                <c:formatCode>0.00%</c:formatCode>
                <c:ptCount val="3"/>
                <c:pt idx="0">
                  <c:v>0.52695754515720339</c:v>
                </c:pt>
                <c:pt idx="1">
                  <c:v>0.31520300442145849</c:v>
                </c:pt>
                <c:pt idx="2">
                  <c:v>0.1578394504213366</c:v>
                </c:pt>
              </c:numCache>
            </c:numRef>
          </c:val>
          <c:extLst>
            <c:ext xmlns:c16="http://schemas.microsoft.com/office/drawing/2014/chart" uri="{C3380CC4-5D6E-409C-BE32-E72D297353CC}">
              <c16:uniqueId val="{00000001-2711-41BF-A276-57004C81D371}"/>
            </c:ext>
          </c:extLst>
        </c:ser>
        <c:dLbls>
          <c:dLblPos val="ctr"/>
          <c:showLegendKey val="0"/>
          <c:showVal val="1"/>
          <c:showCatName val="0"/>
          <c:showSerName val="0"/>
          <c:showPercent val="0"/>
          <c:showBubbleSize val="0"/>
        </c:dLbls>
        <c:gapWidth val="150"/>
        <c:overlap val="100"/>
        <c:axId val="503722280"/>
        <c:axId val="503728184"/>
      </c:barChart>
      <c:catAx>
        <c:axId val="503722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3728184"/>
        <c:crosses val="autoZero"/>
        <c:auto val="1"/>
        <c:lblAlgn val="ctr"/>
        <c:lblOffset val="100"/>
        <c:noMultiLvlLbl val="0"/>
      </c:catAx>
      <c:valAx>
        <c:axId val="503728184"/>
        <c:scaling>
          <c:orientation val="minMax"/>
        </c:scaling>
        <c:delete val="1"/>
        <c:axPos val="l"/>
        <c:numFmt formatCode="0.00%" sourceLinked="1"/>
        <c:majorTickMark val="none"/>
        <c:minorTickMark val="none"/>
        <c:tickLblPos val="nextTo"/>
        <c:crossAx val="503722280"/>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tables!top category  per profit</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category  per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tables'!$AD$4:$AD$8</c:f>
              <c:strCache>
                <c:ptCount val="5"/>
                <c:pt idx="0">
                  <c:v>Category01</c:v>
                </c:pt>
                <c:pt idx="1">
                  <c:v>Category02</c:v>
                </c:pt>
                <c:pt idx="2">
                  <c:v>Category03</c:v>
                </c:pt>
                <c:pt idx="3">
                  <c:v>Category04</c:v>
                </c:pt>
                <c:pt idx="4">
                  <c:v>Category05</c:v>
                </c:pt>
              </c:strCache>
            </c:strRef>
          </c:cat>
          <c:val>
            <c:numRef>
              <c:f>'pivot tables'!$AE$4:$AE$8</c:f>
              <c:numCache>
                <c:formatCode>General</c:formatCode>
                <c:ptCount val="5"/>
                <c:pt idx="0">
                  <c:v>1395.9900000000002</c:v>
                </c:pt>
                <c:pt idx="1">
                  <c:v>2132.1400000000008</c:v>
                </c:pt>
                <c:pt idx="2">
                  <c:v>836.83000000000038</c:v>
                </c:pt>
                <c:pt idx="3">
                  <c:v>2133.6200000000003</c:v>
                </c:pt>
                <c:pt idx="4">
                  <c:v>2204.0300000000002</c:v>
                </c:pt>
              </c:numCache>
            </c:numRef>
          </c:val>
          <c:extLst>
            <c:ext xmlns:c16="http://schemas.microsoft.com/office/drawing/2014/chart" uri="{C3380CC4-5D6E-409C-BE32-E72D297353CC}">
              <c16:uniqueId val="{00000001-7699-4060-905C-0BDF1B7B2537}"/>
            </c:ext>
          </c:extLst>
        </c:ser>
        <c:dLbls>
          <c:dLblPos val="inEnd"/>
          <c:showLegendKey val="0"/>
          <c:showVal val="1"/>
          <c:showCatName val="0"/>
          <c:showSerName val="0"/>
          <c:showPercent val="0"/>
          <c:showBubbleSize val="0"/>
        </c:dLbls>
        <c:gapWidth val="65"/>
        <c:axId val="7960567"/>
        <c:axId val="7966143"/>
      </c:barChart>
      <c:catAx>
        <c:axId val="7960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66143"/>
        <c:crosses val="autoZero"/>
        <c:auto val="1"/>
        <c:lblAlgn val="ctr"/>
        <c:lblOffset val="100"/>
        <c:noMultiLvlLbl val="0"/>
      </c:catAx>
      <c:valAx>
        <c:axId val="796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960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 المشروع الاول.xlsx]pivot tables!total sales per category</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per category</a:t>
            </a:r>
          </a:p>
        </c:rich>
      </c:tx>
      <c:layout>
        <c:manualLayout>
          <c:xMode val="edge"/>
          <c:yMode val="edge"/>
          <c:x val="0.23749135454351991"/>
          <c:y val="3.68650499884095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tables'!$AI$3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tables'!$AH$4:$AH$8</c:f>
              <c:strCache>
                <c:ptCount val="5"/>
                <c:pt idx="0">
                  <c:v>Category01</c:v>
                </c:pt>
                <c:pt idx="1">
                  <c:v>Category02</c:v>
                </c:pt>
                <c:pt idx="2">
                  <c:v>Category03</c:v>
                </c:pt>
                <c:pt idx="3">
                  <c:v>Category04</c:v>
                </c:pt>
                <c:pt idx="4">
                  <c:v>Category05</c:v>
                </c:pt>
              </c:strCache>
            </c:strRef>
          </c:cat>
          <c:val>
            <c:numRef>
              <c:f>'pivot tables'!$AI$4:$AI$8</c:f>
              <c:numCache>
                <c:formatCode>General</c:formatCode>
                <c:ptCount val="5"/>
                <c:pt idx="0">
                  <c:v>9335.989999999998</c:v>
                </c:pt>
                <c:pt idx="1">
                  <c:v>11185.139999999992</c:v>
                </c:pt>
                <c:pt idx="2">
                  <c:v>5953.829999999999</c:v>
                </c:pt>
                <c:pt idx="3">
                  <c:v>11596.619999999997</c:v>
                </c:pt>
                <c:pt idx="4">
                  <c:v>11498.03</c:v>
                </c:pt>
              </c:numCache>
            </c:numRef>
          </c:val>
          <c:extLst>
            <c:ext xmlns:c16="http://schemas.microsoft.com/office/drawing/2014/chart" uri="{C3380CC4-5D6E-409C-BE32-E72D297353CC}">
              <c16:uniqueId val="{0000000B-B7D4-413F-96A5-D2E71C52D0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35</xdr:col>
      <xdr:colOff>281940</xdr:colOff>
      <xdr:row>2</xdr:row>
      <xdr:rowOff>7620</xdr:rowOff>
    </xdr:from>
    <xdr:to>
      <xdr:col>37</xdr:col>
      <xdr:colOff>68580</xdr:colOff>
      <xdr:row>15</xdr:row>
      <xdr:rowOff>97155</xdr:rowOff>
    </xdr:to>
    <mc:AlternateContent xmlns:mc="http://schemas.openxmlformats.org/markup-compatibility/2006" xmlns:a14="http://schemas.microsoft.com/office/drawing/2010/main">
      <mc:Choice Requires="a14">
        <xdr:graphicFrame macro="">
          <xdr:nvGraphicFramePr>
            <xdr:cNvPr id="3" name="PaymentType">
              <a:extLst>
                <a:ext uri="{FF2B5EF4-FFF2-40B4-BE49-F238E27FC236}">
                  <a16:creationId xmlns:a16="http://schemas.microsoft.com/office/drawing/2014/main" id="{1EFFC6FD-2EBA-4D6C-A8F5-138F026A9D4A}"/>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mlns="">
        <xdr:sp macro="" textlink="">
          <xdr:nvSpPr>
            <xdr:cNvPr id="0" name=""/>
            <xdr:cNvSpPr>
              <a:spLocks noTextEdit="1"/>
            </xdr:cNvSpPr>
          </xdr:nvSpPr>
          <xdr:spPr>
            <a:xfrm>
              <a:off x="29794200" y="37338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167640</xdr:colOff>
      <xdr:row>1</xdr:row>
      <xdr:rowOff>121920</xdr:rowOff>
    </xdr:from>
    <xdr:to>
      <xdr:col>43</xdr:col>
      <xdr:colOff>190500</xdr:colOff>
      <xdr:row>15</xdr:row>
      <xdr:rowOff>28575</xdr:rowOff>
    </xdr:to>
    <mc:AlternateContent xmlns:mc="http://schemas.openxmlformats.org/markup-compatibility/2006" xmlns:a14="http://schemas.microsoft.com/office/drawing/2010/main">
      <mc:Choice Requires="a14">
        <xdr:graphicFrame macro="">
          <xdr:nvGraphicFramePr>
            <xdr:cNvPr id="4" name="SaleType">
              <a:extLst>
                <a:ext uri="{FF2B5EF4-FFF2-40B4-BE49-F238E27FC236}">
                  <a16:creationId xmlns:a16="http://schemas.microsoft.com/office/drawing/2014/main" id="{7D3F618B-1153-414F-8E90-0AA330D6EC53}"/>
                </a:ext>
              </a:extLst>
            </xdr:cNvPr>
            <xdr:cNvGraphicFramePr/>
          </xdr:nvGraphicFramePr>
          <xdr:xfrm>
            <a:off x="0" y="0"/>
            <a:ext cx="0" cy="0"/>
          </xdr:xfrm>
          <a:graphic>
            <a:graphicData uri="http://schemas.microsoft.com/office/drawing/2010/slicer">
              <sle:slicer xmlns:sle="http://schemas.microsoft.com/office/drawing/2010/slicer" name="SaleType"/>
            </a:graphicData>
          </a:graphic>
        </xdr:graphicFrame>
      </mc:Choice>
      <mc:Fallback xmlns="">
        <xdr:sp macro="" textlink="">
          <xdr:nvSpPr>
            <xdr:cNvPr id="0" name=""/>
            <xdr:cNvSpPr>
              <a:spLocks noTextEdit="1"/>
            </xdr:cNvSpPr>
          </xdr:nvSpPr>
          <xdr:spPr>
            <a:xfrm>
              <a:off x="31722060" y="30480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640080</xdr:colOff>
      <xdr:row>1</xdr:row>
      <xdr:rowOff>91440</xdr:rowOff>
    </xdr:from>
    <xdr:to>
      <xdr:col>52</xdr:col>
      <xdr:colOff>403860</xdr:colOff>
      <xdr:row>14</xdr:row>
      <xdr:rowOff>180975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7B722E8D-FD6F-4573-8A9A-0C1FA9E00F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653980" y="27432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563880</xdr:colOff>
      <xdr:row>15</xdr:row>
      <xdr:rowOff>114300</xdr:rowOff>
    </xdr:from>
    <xdr:to>
      <xdr:col>11</xdr:col>
      <xdr:colOff>784860</xdr:colOff>
      <xdr:row>30</xdr:row>
      <xdr:rowOff>114300</xdr:rowOff>
    </xdr:to>
    <xdr:graphicFrame macro="">
      <xdr:nvGraphicFramePr>
        <xdr:cNvPr id="6" name="Chart 5">
          <a:extLst>
            <a:ext uri="{FF2B5EF4-FFF2-40B4-BE49-F238E27FC236}">
              <a16:creationId xmlns:a16="http://schemas.microsoft.com/office/drawing/2014/main" id="{4E455918-C281-4AC7-A398-119D55D86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312420</xdr:colOff>
      <xdr:row>47</xdr:row>
      <xdr:rowOff>53340</xdr:rowOff>
    </xdr:from>
    <xdr:to>
      <xdr:col>16</xdr:col>
      <xdr:colOff>220980</xdr:colOff>
      <xdr:row>62</xdr:row>
      <xdr:rowOff>53340</xdr:rowOff>
    </xdr:to>
    <xdr:graphicFrame macro="">
      <xdr:nvGraphicFramePr>
        <xdr:cNvPr id="7" name="Chart 6">
          <a:extLst>
            <a:ext uri="{FF2B5EF4-FFF2-40B4-BE49-F238E27FC236}">
              <a16:creationId xmlns:a16="http://schemas.microsoft.com/office/drawing/2014/main" id="{FC8A6A78-E541-4363-9772-8FA677AA3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121920</xdr:colOff>
      <xdr:row>10</xdr:row>
      <xdr:rowOff>114300</xdr:rowOff>
    </xdr:from>
    <xdr:to>
      <xdr:col>35</xdr:col>
      <xdr:colOff>137160</xdr:colOff>
      <xdr:row>25</xdr:row>
      <xdr:rowOff>114300</xdr:rowOff>
    </xdr:to>
    <xdr:graphicFrame macro="">
      <xdr:nvGraphicFramePr>
        <xdr:cNvPr id="8" name="Chart 7">
          <a:extLst>
            <a:ext uri="{FF2B5EF4-FFF2-40B4-BE49-F238E27FC236}">
              <a16:creationId xmlns:a16="http://schemas.microsoft.com/office/drawing/2014/main" id="{B75655CE-6FAE-4A41-A7DF-17368A2F2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868680</xdr:colOff>
      <xdr:row>8</xdr:row>
      <xdr:rowOff>129540</xdr:rowOff>
    </xdr:from>
    <xdr:to>
      <xdr:col>20</xdr:col>
      <xdr:colOff>114300</xdr:colOff>
      <xdr:row>23</xdr:row>
      <xdr:rowOff>30480</xdr:rowOff>
    </xdr:to>
    <xdr:graphicFrame macro="">
      <xdr:nvGraphicFramePr>
        <xdr:cNvPr id="9" name="Chart 8">
          <a:extLst>
            <a:ext uri="{FF2B5EF4-FFF2-40B4-BE49-F238E27FC236}">
              <a16:creationId xmlns:a16="http://schemas.microsoft.com/office/drawing/2014/main" id="{46DC8C00-8E42-4D37-9E3E-A76B1004D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83820</xdr:colOff>
      <xdr:row>9</xdr:row>
      <xdr:rowOff>83820</xdr:rowOff>
    </xdr:from>
    <xdr:to>
      <xdr:col>29</xdr:col>
      <xdr:colOff>784860</xdr:colOff>
      <xdr:row>24</xdr:row>
      <xdr:rowOff>83820</xdr:rowOff>
    </xdr:to>
    <xdr:graphicFrame macro="">
      <xdr:nvGraphicFramePr>
        <xdr:cNvPr id="11" name="Chart 10">
          <a:extLst>
            <a:ext uri="{FF2B5EF4-FFF2-40B4-BE49-F238E27FC236}">
              <a16:creationId xmlns:a16="http://schemas.microsoft.com/office/drawing/2014/main" id="{F8170A50-FA14-4E85-A491-A007E8E44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44</xdr:col>
      <xdr:colOff>22860</xdr:colOff>
      <xdr:row>1</xdr:row>
      <xdr:rowOff>76200</xdr:rowOff>
    </xdr:from>
    <xdr:to>
      <xdr:col>49</xdr:col>
      <xdr:colOff>510540</xdr:colOff>
      <xdr:row>15</xdr:row>
      <xdr:rowOff>30480</xdr:rowOff>
    </xdr:to>
    <mc:AlternateContent xmlns:mc="http://schemas.openxmlformats.org/markup-compatibility/2006" xmlns:a14="http://schemas.microsoft.com/office/drawing/2010/main">
      <mc:Choice Requires="a14">
        <xdr:graphicFrame macro="">
          <xdr:nvGraphicFramePr>
            <xdr:cNvPr id="15" name="month num">
              <a:extLst>
                <a:ext uri="{FF2B5EF4-FFF2-40B4-BE49-F238E27FC236}">
                  <a16:creationId xmlns:a16="http://schemas.microsoft.com/office/drawing/2014/main" id="{D284797B-53FB-4926-AD0C-111BF14821D9}"/>
                </a:ext>
              </a:extLst>
            </xdr:cNvPr>
            <xdr:cNvGraphicFramePr/>
          </xdr:nvGraphicFramePr>
          <xdr:xfrm>
            <a:off x="0" y="0"/>
            <a:ext cx="0" cy="0"/>
          </xdr:xfrm>
          <a:graphic>
            <a:graphicData uri="http://schemas.microsoft.com/office/drawing/2010/slicer">
              <sle:slicer xmlns:sle="http://schemas.microsoft.com/office/drawing/2010/slicer" name="month num"/>
            </a:graphicData>
          </a:graphic>
        </xdr:graphicFrame>
      </mc:Choice>
      <mc:Fallback xmlns="">
        <xdr:sp macro="" textlink="">
          <xdr:nvSpPr>
            <xdr:cNvPr id="0" name=""/>
            <xdr:cNvSpPr>
              <a:spLocks noTextEdit="1"/>
            </xdr:cNvSpPr>
          </xdr:nvSpPr>
          <xdr:spPr>
            <a:xfrm>
              <a:off x="33604200" y="259080"/>
              <a:ext cx="1920240" cy="25146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541020</xdr:colOff>
      <xdr:row>0</xdr:row>
      <xdr:rowOff>0</xdr:rowOff>
    </xdr:from>
    <xdr:to>
      <xdr:col>13</xdr:col>
      <xdr:colOff>7620</xdr:colOff>
      <xdr:row>2</xdr:row>
      <xdr:rowOff>83820</xdr:rowOff>
    </xdr:to>
    <xdr:sp macro="" textlink="">
      <xdr:nvSpPr>
        <xdr:cNvPr id="2" name="Rectangle 1">
          <a:extLst>
            <a:ext uri="{FF2B5EF4-FFF2-40B4-BE49-F238E27FC236}">
              <a16:creationId xmlns:a16="http://schemas.microsoft.com/office/drawing/2014/main" id="{706930A8-E57F-4877-B05D-3E74B52E6F26}"/>
            </a:ext>
          </a:extLst>
        </xdr:cNvPr>
        <xdr:cNvSpPr/>
      </xdr:nvSpPr>
      <xdr:spPr>
        <a:xfrm>
          <a:off x="5417820" y="0"/>
          <a:ext cx="2514600" cy="4495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400"/>
            <a:t>sales dashboard</a:t>
          </a:r>
        </a:p>
      </xdr:txBody>
    </xdr:sp>
    <xdr:clientData/>
  </xdr:twoCellAnchor>
  <xdr:twoCellAnchor>
    <xdr:from>
      <xdr:col>0</xdr:col>
      <xdr:colOff>30480</xdr:colOff>
      <xdr:row>5</xdr:row>
      <xdr:rowOff>167640</xdr:rowOff>
    </xdr:from>
    <xdr:to>
      <xdr:col>3</xdr:col>
      <xdr:colOff>350520</xdr:colOff>
      <xdr:row>8</xdr:row>
      <xdr:rowOff>7620</xdr:rowOff>
    </xdr:to>
    <xdr:sp macro="" textlink="">
      <xdr:nvSpPr>
        <xdr:cNvPr id="8" name="Rectangle 7">
          <a:extLst>
            <a:ext uri="{FF2B5EF4-FFF2-40B4-BE49-F238E27FC236}">
              <a16:creationId xmlns:a16="http://schemas.microsoft.com/office/drawing/2014/main" id="{0982E3B5-2A05-40CB-A265-073B3E29831B}"/>
            </a:ext>
          </a:extLst>
        </xdr:cNvPr>
        <xdr:cNvSpPr/>
      </xdr:nvSpPr>
      <xdr:spPr>
        <a:xfrm>
          <a:off x="30480" y="1082040"/>
          <a:ext cx="2148840" cy="3886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effectLst/>
              <a:latin typeface="+mn-lt"/>
              <a:ea typeface="+mn-ea"/>
              <a:cs typeface="+mn-cs"/>
            </a:rPr>
            <a:t>Sum of SellingPrice</a:t>
          </a:r>
          <a:r>
            <a:rPr lang="en-US" sz="1400">
              <a:solidFill>
                <a:sysClr val="windowText" lastClr="000000"/>
              </a:solidFill>
            </a:rPr>
            <a:t> </a:t>
          </a:r>
          <a:endParaRPr lang="en-AE" sz="1400">
            <a:solidFill>
              <a:sysClr val="windowText" lastClr="000000"/>
            </a:solidFill>
          </a:endParaRPr>
        </a:p>
      </xdr:txBody>
    </xdr:sp>
    <xdr:clientData/>
  </xdr:twoCellAnchor>
  <xdr:twoCellAnchor>
    <xdr:from>
      <xdr:col>0</xdr:col>
      <xdr:colOff>15240</xdr:colOff>
      <xdr:row>8</xdr:row>
      <xdr:rowOff>7620</xdr:rowOff>
    </xdr:from>
    <xdr:to>
      <xdr:col>1</xdr:col>
      <xdr:colOff>274320</xdr:colOff>
      <xdr:row>10</xdr:row>
      <xdr:rowOff>7620</xdr:rowOff>
    </xdr:to>
    <xdr:sp macro="" textlink="'pivot tables'!A5">
      <xdr:nvSpPr>
        <xdr:cNvPr id="19" name="Rectangle 18">
          <a:extLst>
            <a:ext uri="{FF2B5EF4-FFF2-40B4-BE49-F238E27FC236}">
              <a16:creationId xmlns:a16="http://schemas.microsoft.com/office/drawing/2014/main" id="{CBAF4278-1268-4F2A-A417-34FCF2F26F42}"/>
            </a:ext>
          </a:extLst>
        </xdr:cNvPr>
        <xdr:cNvSpPr/>
      </xdr:nvSpPr>
      <xdr:spPr>
        <a:xfrm>
          <a:off x="15240" y="1470660"/>
          <a:ext cx="868680" cy="36576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6AF2CE5-E50E-4F4A-B00C-77C65534FE5F}" type="TxLink">
            <a:rPr lang="en-US" sz="1400" b="0" i="0" u="none" strike="noStrike">
              <a:solidFill>
                <a:srgbClr val="000000"/>
              </a:solidFill>
              <a:latin typeface="Calibri"/>
              <a:cs typeface="Calibri"/>
            </a:rPr>
            <a:pPr algn="ctr"/>
            <a:t>49570</a:t>
          </a:fld>
          <a:endParaRPr lang="en-AE" sz="1400"/>
        </a:p>
      </xdr:txBody>
    </xdr:sp>
    <xdr:clientData/>
  </xdr:twoCellAnchor>
  <xdr:twoCellAnchor>
    <xdr:from>
      <xdr:col>3</xdr:col>
      <xdr:colOff>434340</xdr:colOff>
      <xdr:row>8</xdr:row>
      <xdr:rowOff>0</xdr:rowOff>
    </xdr:from>
    <xdr:to>
      <xdr:col>4</xdr:col>
      <xdr:colOff>586740</xdr:colOff>
      <xdr:row>9</xdr:row>
      <xdr:rowOff>167640</xdr:rowOff>
    </xdr:to>
    <xdr:sp macro="" textlink="'pivot tables'!D5">
      <xdr:nvSpPr>
        <xdr:cNvPr id="21" name="Rectangle 20">
          <a:extLst>
            <a:ext uri="{FF2B5EF4-FFF2-40B4-BE49-F238E27FC236}">
              <a16:creationId xmlns:a16="http://schemas.microsoft.com/office/drawing/2014/main" id="{CCC7AA6D-580A-44D4-8C60-9FAD77D5D4CD}"/>
            </a:ext>
          </a:extLst>
        </xdr:cNvPr>
        <xdr:cNvSpPr/>
      </xdr:nvSpPr>
      <xdr:spPr>
        <a:xfrm>
          <a:off x="2263140" y="1463040"/>
          <a:ext cx="762000" cy="3505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B566C23-DC00-498E-B3D1-EA1AE394DB9F}" type="TxLink">
            <a:rPr lang="en-US" sz="1400" b="0" i="0" u="none" strike="noStrike">
              <a:solidFill>
                <a:sysClr val="windowText" lastClr="000000"/>
              </a:solidFill>
              <a:latin typeface="Calibri"/>
              <a:cs typeface="Calibri"/>
            </a:rPr>
            <a:pPr algn="ctr"/>
            <a:t>8703</a:t>
          </a:fld>
          <a:endParaRPr lang="en-AE" sz="1400">
            <a:solidFill>
              <a:sysClr val="windowText" lastClr="000000"/>
            </a:solidFill>
          </a:endParaRPr>
        </a:p>
      </xdr:txBody>
    </xdr:sp>
    <xdr:clientData/>
  </xdr:twoCellAnchor>
  <xdr:twoCellAnchor>
    <xdr:from>
      <xdr:col>3</xdr:col>
      <xdr:colOff>441960</xdr:colOff>
      <xdr:row>5</xdr:row>
      <xdr:rowOff>167640</xdr:rowOff>
    </xdr:from>
    <xdr:to>
      <xdr:col>6</xdr:col>
      <xdr:colOff>205740</xdr:colOff>
      <xdr:row>7</xdr:row>
      <xdr:rowOff>167640</xdr:rowOff>
    </xdr:to>
    <xdr:sp macro="" textlink="">
      <xdr:nvSpPr>
        <xdr:cNvPr id="22" name="Rectangle 21">
          <a:extLst>
            <a:ext uri="{FF2B5EF4-FFF2-40B4-BE49-F238E27FC236}">
              <a16:creationId xmlns:a16="http://schemas.microsoft.com/office/drawing/2014/main" id="{2B4E0729-5672-40D8-B4C0-385ED0DDD3EA}"/>
            </a:ext>
          </a:extLst>
        </xdr:cNvPr>
        <xdr:cNvSpPr/>
      </xdr:nvSpPr>
      <xdr:spPr>
        <a:xfrm>
          <a:off x="2270760" y="1082040"/>
          <a:ext cx="1592580" cy="36576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effectLst/>
              <a:latin typeface="+mn-lt"/>
              <a:ea typeface="+mn-ea"/>
              <a:cs typeface="+mn-cs"/>
            </a:rPr>
            <a:t>Sum of Profit</a:t>
          </a:r>
          <a:r>
            <a:rPr lang="en-US" sz="1400">
              <a:solidFill>
                <a:sysClr val="windowText" lastClr="000000"/>
              </a:solidFill>
            </a:rPr>
            <a:t> </a:t>
          </a:r>
          <a:endParaRPr lang="en-AE" sz="1400">
            <a:solidFill>
              <a:sysClr val="windowText" lastClr="000000"/>
            </a:solidFill>
          </a:endParaRPr>
        </a:p>
      </xdr:txBody>
    </xdr:sp>
    <xdr:clientData/>
  </xdr:twoCellAnchor>
  <xdr:twoCellAnchor>
    <xdr:from>
      <xdr:col>6</xdr:col>
      <xdr:colOff>335280</xdr:colOff>
      <xdr:row>5</xdr:row>
      <xdr:rowOff>137160</xdr:rowOff>
    </xdr:from>
    <xdr:to>
      <xdr:col>11</xdr:col>
      <xdr:colOff>320040</xdr:colOff>
      <xdr:row>7</xdr:row>
      <xdr:rowOff>30480</xdr:rowOff>
    </xdr:to>
    <xdr:sp macro="" textlink="">
      <xdr:nvSpPr>
        <xdr:cNvPr id="25" name="Rectangle 24">
          <a:extLst>
            <a:ext uri="{FF2B5EF4-FFF2-40B4-BE49-F238E27FC236}">
              <a16:creationId xmlns:a16="http://schemas.microsoft.com/office/drawing/2014/main" id="{C3F2B161-58BC-4E37-B06C-7B734AB585AD}"/>
            </a:ext>
          </a:extLst>
        </xdr:cNvPr>
        <xdr:cNvSpPr/>
      </xdr:nvSpPr>
      <xdr:spPr>
        <a:xfrm>
          <a:off x="3992880" y="1051560"/>
          <a:ext cx="3032760" cy="25908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solidFill>
                <a:sysClr val="windowText" lastClr="000000"/>
              </a:solidFill>
            </a:rPr>
            <a:t>percentage of sales  per</a:t>
          </a:r>
          <a:r>
            <a:rPr lang="ar-EG" sz="1400" baseline="0">
              <a:solidFill>
                <a:sysClr val="windowText" lastClr="000000"/>
              </a:solidFill>
            </a:rPr>
            <a:t> </a:t>
          </a:r>
          <a:r>
            <a:rPr lang="en-US" sz="1400">
              <a:solidFill>
                <a:sysClr val="windowText" lastClr="000000"/>
              </a:solidFill>
            </a:rPr>
            <a:t>payment type</a:t>
          </a:r>
          <a:endParaRPr lang="en-AE" sz="1400">
            <a:solidFill>
              <a:sysClr val="windowText" lastClr="000000"/>
            </a:solidFill>
          </a:endParaRPr>
        </a:p>
      </xdr:txBody>
    </xdr:sp>
    <xdr:clientData/>
  </xdr:twoCellAnchor>
  <xdr:twoCellAnchor>
    <xdr:from>
      <xdr:col>7</xdr:col>
      <xdr:colOff>464820</xdr:colOff>
      <xdr:row>7</xdr:row>
      <xdr:rowOff>30480</xdr:rowOff>
    </xdr:from>
    <xdr:to>
      <xdr:col>9</xdr:col>
      <xdr:colOff>274320</xdr:colOff>
      <xdr:row>8</xdr:row>
      <xdr:rowOff>83820</xdr:rowOff>
    </xdr:to>
    <xdr:sp macro="" textlink="'pivot tables'!W7">
      <xdr:nvSpPr>
        <xdr:cNvPr id="30" name="Rectangle 29">
          <a:extLst>
            <a:ext uri="{FF2B5EF4-FFF2-40B4-BE49-F238E27FC236}">
              <a16:creationId xmlns:a16="http://schemas.microsoft.com/office/drawing/2014/main" id="{AEA3C5E7-AD5C-44A3-8A74-AFE44499F7EC}"/>
            </a:ext>
          </a:extLst>
        </xdr:cNvPr>
        <xdr:cNvSpPr/>
      </xdr:nvSpPr>
      <xdr:spPr>
        <a:xfrm>
          <a:off x="4732020" y="1310640"/>
          <a:ext cx="1028700" cy="2362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7E11BB-E4E3-4C1F-B899-C5E717FAEAC9}" type="TxLink">
            <a:rPr lang="en-US" sz="1400" b="0" i="0" u="none" strike="noStrike">
              <a:solidFill>
                <a:sysClr val="windowText" lastClr="000000"/>
              </a:solidFill>
              <a:latin typeface="Calibri"/>
              <a:cs typeface="Calibri"/>
            </a:rPr>
            <a:pPr algn="ctr"/>
            <a:t>52%</a:t>
          </a:fld>
          <a:endParaRPr lang="en-AE" sz="1400">
            <a:solidFill>
              <a:sysClr val="windowText" lastClr="000000"/>
            </a:solidFill>
          </a:endParaRPr>
        </a:p>
      </xdr:txBody>
    </xdr:sp>
    <xdr:clientData/>
  </xdr:twoCellAnchor>
  <xdr:twoCellAnchor>
    <xdr:from>
      <xdr:col>7</xdr:col>
      <xdr:colOff>472440</xdr:colOff>
      <xdr:row>8</xdr:row>
      <xdr:rowOff>99060</xdr:rowOff>
    </xdr:from>
    <xdr:to>
      <xdr:col>9</xdr:col>
      <xdr:colOff>274320</xdr:colOff>
      <xdr:row>10</xdr:row>
      <xdr:rowOff>0</xdr:rowOff>
    </xdr:to>
    <xdr:sp macro="" textlink="'pivot tables'!W8">
      <xdr:nvSpPr>
        <xdr:cNvPr id="31" name="Rectangle 30">
          <a:extLst>
            <a:ext uri="{FF2B5EF4-FFF2-40B4-BE49-F238E27FC236}">
              <a16:creationId xmlns:a16="http://schemas.microsoft.com/office/drawing/2014/main" id="{0B3B7475-C015-4551-9740-C910EA54443B}"/>
            </a:ext>
          </a:extLst>
        </xdr:cNvPr>
        <xdr:cNvSpPr/>
      </xdr:nvSpPr>
      <xdr:spPr>
        <a:xfrm>
          <a:off x="4739640" y="1562100"/>
          <a:ext cx="1021080" cy="2667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6B78DDD-85CB-4595-A044-11C487E0BED4}" type="TxLink">
            <a:rPr lang="en-US" sz="1400" b="0" i="0" u="none" strike="noStrike">
              <a:solidFill>
                <a:sysClr val="windowText" lastClr="000000"/>
              </a:solidFill>
              <a:latin typeface="Calibri"/>
              <a:cs typeface="Calibri"/>
            </a:rPr>
            <a:pPr algn="ctr"/>
            <a:t>48%</a:t>
          </a:fld>
          <a:endParaRPr lang="en-AE" sz="1400">
            <a:solidFill>
              <a:sysClr val="windowText" lastClr="000000"/>
            </a:solidFill>
          </a:endParaRPr>
        </a:p>
      </xdr:txBody>
    </xdr:sp>
    <xdr:clientData/>
  </xdr:twoCellAnchor>
  <xdr:twoCellAnchor>
    <xdr:from>
      <xdr:col>6</xdr:col>
      <xdr:colOff>335280</xdr:colOff>
      <xdr:row>8</xdr:row>
      <xdr:rowOff>83820</xdr:rowOff>
    </xdr:from>
    <xdr:to>
      <xdr:col>7</xdr:col>
      <xdr:colOff>457200</xdr:colOff>
      <xdr:row>10</xdr:row>
      <xdr:rowOff>0</xdr:rowOff>
    </xdr:to>
    <xdr:sp macro="" textlink="">
      <xdr:nvSpPr>
        <xdr:cNvPr id="32" name="Rectangle 31">
          <a:extLst>
            <a:ext uri="{FF2B5EF4-FFF2-40B4-BE49-F238E27FC236}">
              <a16:creationId xmlns:a16="http://schemas.microsoft.com/office/drawing/2014/main" id="{790BC103-5174-4A54-B2E1-9C472138BC38}"/>
            </a:ext>
          </a:extLst>
        </xdr:cNvPr>
        <xdr:cNvSpPr/>
      </xdr:nvSpPr>
      <xdr:spPr>
        <a:xfrm>
          <a:off x="3992880" y="1546860"/>
          <a:ext cx="731520" cy="28194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ysClr val="windowText" lastClr="000000"/>
              </a:solidFill>
              <a:effectLst/>
              <a:latin typeface="+mn-lt"/>
              <a:ea typeface="+mn-ea"/>
              <a:cs typeface="+mn-cs"/>
            </a:rPr>
            <a:t>Online</a:t>
          </a:r>
          <a:r>
            <a:rPr lang="en-US" sz="1400">
              <a:solidFill>
                <a:sysClr val="windowText" lastClr="000000"/>
              </a:solidFill>
            </a:rPr>
            <a:t> </a:t>
          </a:r>
          <a:endParaRPr lang="en-AE" sz="1400">
            <a:solidFill>
              <a:sysClr val="windowText" lastClr="000000"/>
            </a:solidFill>
          </a:endParaRPr>
        </a:p>
      </xdr:txBody>
    </xdr:sp>
    <xdr:clientData/>
  </xdr:twoCellAnchor>
  <xdr:twoCellAnchor>
    <xdr:from>
      <xdr:col>6</xdr:col>
      <xdr:colOff>327660</xdr:colOff>
      <xdr:row>7</xdr:row>
      <xdr:rowOff>30480</xdr:rowOff>
    </xdr:from>
    <xdr:to>
      <xdr:col>7</xdr:col>
      <xdr:colOff>480060</xdr:colOff>
      <xdr:row>8</xdr:row>
      <xdr:rowOff>76200</xdr:rowOff>
    </xdr:to>
    <xdr:sp macro="" textlink="">
      <xdr:nvSpPr>
        <xdr:cNvPr id="33" name="Rectangle 32">
          <a:extLst>
            <a:ext uri="{FF2B5EF4-FFF2-40B4-BE49-F238E27FC236}">
              <a16:creationId xmlns:a16="http://schemas.microsoft.com/office/drawing/2014/main" id="{2D83EC0C-FB0D-426A-98EE-98496CD34B8E}"/>
            </a:ext>
          </a:extLst>
        </xdr:cNvPr>
        <xdr:cNvSpPr/>
      </xdr:nvSpPr>
      <xdr:spPr>
        <a:xfrm>
          <a:off x="3985260" y="1310640"/>
          <a:ext cx="762000" cy="2286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ysClr val="windowText" lastClr="000000"/>
              </a:solidFill>
              <a:effectLst/>
              <a:latin typeface="+mn-lt"/>
              <a:ea typeface="+mn-ea"/>
              <a:cs typeface="+mn-cs"/>
            </a:rPr>
            <a:t>Cash</a:t>
          </a:r>
          <a:r>
            <a:rPr lang="en-US" sz="1400">
              <a:solidFill>
                <a:sysClr val="windowText" lastClr="000000"/>
              </a:solidFill>
            </a:rPr>
            <a:t> </a:t>
          </a:r>
          <a:endParaRPr lang="en-AE" sz="1400">
            <a:solidFill>
              <a:sysClr val="windowText" lastClr="000000"/>
            </a:solidFill>
          </a:endParaRPr>
        </a:p>
      </xdr:txBody>
    </xdr:sp>
    <xdr:clientData/>
  </xdr:twoCellAnchor>
  <xdr:twoCellAnchor>
    <xdr:from>
      <xdr:col>13</xdr:col>
      <xdr:colOff>83820</xdr:colOff>
      <xdr:row>7</xdr:row>
      <xdr:rowOff>152400</xdr:rowOff>
    </xdr:from>
    <xdr:to>
      <xdr:col>15</xdr:col>
      <xdr:colOff>190500</xdr:colOff>
      <xdr:row>9</xdr:row>
      <xdr:rowOff>175260</xdr:rowOff>
    </xdr:to>
    <xdr:sp macro="" textlink="'pivot tables'!AA5">
      <xdr:nvSpPr>
        <xdr:cNvPr id="34" name="Rectangle 33">
          <a:extLst>
            <a:ext uri="{FF2B5EF4-FFF2-40B4-BE49-F238E27FC236}">
              <a16:creationId xmlns:a16="http://schemas.microsoft.com/office/drawing/2014/main" id="{83A7A631-7E68-4A50-85D6-95CB7677FAFF}"/>
            </a:ext>
          </a:extLst>
        </xdr:cNvPr>
        <xdr:cNvSpPr/>
      </xdr:nvSpPr>
      <xdr:spPr>
        <a:xfrm>
          <a:off x="8008620" y="1432560"/>
          <a:ext cx="1325880" cy="3886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681D8BA-80E6-42F0-9BC9-9369BABACFCC}" type="TxLink">
            <a:rPr lang="en-US" sz="1400" b="0" i="0" u="none" strike="noStrike">
              <a:solidFill>
                <a:sysClr val="windowText" lastClr="000000"/>
              </a:solidFill>
              <a:latin typeface="Calibri"/>
              <a:cs typeface="Calibri"/>
            </a:rPr>
            <a:pPr algn="ctr"/>
            <a:t>3240</a:t>
          </a:fld>
          <a:endParaRPr lang="en-AE" sz="1400">
            <a:solidFill>
              <a:sysClr val="windowText" lastClr="000000"/>
            </a:solidFill>
          </a:endParaRPr>
        </a:p>
      </xdr:txBody>
    </xdr:sp>
    <xdr:clientData/>
  </xdr:twoCellAnchor>
  <xdr:twoCellAnchor>
    <xdr:from>
      <xdr:col>11</xdr:col>
      <xdr:colOff>381000</xdr:colOff>
      <xdr:row>7</xdr:row>
      <xdr:rowOff>152400</xdr:rowOff>
    </xdr:from>
    <xdr:to>
      <xdr:col>13</xdr:col>
      <xdr:colOff>76200</xdr:colOff>
      <xdr:row>9</xdr:row>
      <xdr:rowOff>175260</xdr:rowOff>
    </xdr:to>
    <xdr:sp macro="" textlink="">
      <xdr:nvSpPr>
        <xdr:cNvPr id="35" name="Rectangle 34">
          <a:extLst>
            <a:ext uri="{FF2B5EF4-FFF2-40B4-BE49-F238E27FC236}">
              <a16:creationId xmlns:a16="http://schemas.microsoft.com/office/drawing/2014/main" id="{0995A26A-D65E-43DE-98F5-67F2E3477B37}"/>
            </a:ext>
          </a:extLst>
        </xdr:cNvPr>
        <xdr:cNvSpPr/>
      </xdr:nvSpPr>
      <xdr:spPr>
        <a:xfrm>
          <a:off x="7086600" y="1432560"/>
          <a:ext cx="914400" cy="3886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ysClr val="windowText" lastClr="000000"/>
              </a:solidFill>
              <a:effectLst/>
              <a:latin typeface="+mn-lt"/>
              <a:ea typeface="+mn-ea"/>
              <a:cs typeface="+mn-cs"/>
            </a:rPr>
            <a:t>P0042</a:t>
          </a:r>
          <a:r>
            <a:rPr lang="en-US" sz="1400">
              <a:solidFill>
                <a:sysClr val="windowText" lastClr="000000"/>
              </a:solidFill>
            </a:rPr>
            <a:t> </a:t>
          </a:r>
          <a:endParaRPr lang="en-AE" sz="1400">
            <a:solidFill>
              <a:sysClr val="windowText" lastClr="000000"/>
            </a:solidFill>
          </a:endParaRPr>
        </a:p>
      </xdr:txBody>
    </xdr:sp>
    <xdr:clientData/>
  </xdr:twoCellAnchor>
  <xdr:twoCellAnchor>
    <xdr:from>
      <xdr:col>11</xdr:col>
      <xdr:colOff>381000</xdr:colOff>
      <xdr:row>5</xdr:row>
      <xdr:rowOff>129540</xdr:rowOff>
    </xdr:from>
    <xdr:to>
      <xdr:col>15</xdr:col>
      <xdr:colOff>198120</xdr:colOff>
      <xdr:row>7</xdr:row>
      <xdr:rowOff>137160</xdr:rowOff>
    </xdr:to>
    <xdr:sp macro="" textlink="">
      <xdr:nvSpPr>
        <xdr:cNvPr id="36" name="Rectangle 35">
          <a:extLst>
            <a:ext uri="{FF2B5EF4-FFF2-40B4-BE49-F238E27FC236}">
              <a16:creationId xmlns:a16="http://schemas.microsoft.com/office/drawing/2014/main" id="{C2CAE4E9-D0E9-427C-A1E4-46A45F4147D7}"/>
            </a:ext>
          </a:extLst>
        </xdr:cNvPr>
        <xdr:cNvSpPr/>
      </xdr:nvSpPr>
      <xdr:spPr>
        <a:xfrm>
          <a:off x="7086600" y="1043940"/>
          <a:ext cx="2255520" cy="37338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top product per sales</a:t>
          </a:r>
          <a:endParaRPr lang="en-AE" sz="1400">
            <a:solidFill>
              <a:sysClr val="windowText" lastClr="000000"/>
            </a:solidFill>
          </a:endParaRPr>
        </a:p>
      </xdr:txBody>
    </xdr:sp>
    <xdr:clientData/>
  </xdr:twoCellAnchor>
  <xdr:twoCellAnchor editAs="oneCell">
    <xdr:from>
      <xdr:col>1</xdr:col>
      <xdr:colOff>289561</xdr:colOff>
      <xdr:row>8</xdr:row>
      <xdr:rowOff>0</xdr:rowOff>
    </xdr:from>
    <xdr:to>
      <xdr:col>3</xdr:col>
      <xdr:colOff>358141</xdr:colOff>
      <xdr:row>9</xdr:row>
      <xdr:rowOff>175260</xdr:rowOff>
    </xdr:to>
    <xdr:pic>
      <xdr:nvPicPr>
        <xdr:cNvPr id="38" name="Picture 37">
          <a:extLst>
            <a:ext uri="{FF2B5EF4-FFF2-40B4-BE49-F238E27FC236}">
              <a16:creationId xmlns:a16="http://schemas.microsoft.com/office/drawing/2014/main" id="{C07DCB6F-55BE-4388-8D36-1D4D81FB0932}"/>
            </a:ext>
          </a:extLst>
        </xdr:cNvPr>
        <xdr:cNvPicPr>
          <a:picLocks noChangeAspect="1"/>
        </xdr:cNvPicPr>
      </xdr:nvPicPr>
      <xdr:blipFill>
        <a:blip xmlns:r="http://schemas.openxmlformats.org/officeDocument/2006/relationships" r:embed="rId1"/>
        <a:stretch>
          <a:fillRect/>
        </a:stretch>
      </xdr:blipFill>
      <xdr:spPr>
        <a:xfrm>
          <a:off x="899161" y="1463040"/>
          <a:ext cx="1287780" cy="358140"/>
        </a:xfrm>
        <a:prstGeom prst="rect">
          <a:avLst/>
        </a:prstGeom>
      </xdr:spPr>
    </xdr:pic>
    <xdr:clientData/>
  </xdr:twoCellAnchor>
  <xdr:twoCellAnchor editAs="oneCell">
    <xdr:from>
      <xdr:col>4</xdr:col>
      <xdr:colOff>586739</xdr:colOff>
      <xdr:row>7</xdr:row>
      <xdr:rowOff>175260</xdr:rowOff>
    </xdr:from>
    <xdr:to>
      <xdr:col>6</xdr:col>
      <xdr:colOff>213360</xdr:colOff>
      <xdr:row>10</xdr:row>
      <xdr:rowOff>0</xdr:rowOff>
    </xdr:to>
    <xdr:pic>
      <xdr:nvPicPr>
        <xdr:cNvPr id="40" name="Picture 39">
          <a:extLst>
            <a:ext uri="{FF2B5EF4-FFF2-40B4-BE49-F238E27FC236}">
              <a16:creationId xmlns:a16="http://schemas.microsoft.com/office/drawing/2014/main" id="{8BA3FBA9-752F-4A27-A1F9-B8636EB7EB14}"/>
            </a:ext>
          </a:extLst>
        </xdr:cNvPr>
        <xdr:cNvPicPr>
          <a:picLocks noChangeAspect="1"/>
        </xdr:cNvPicPr>
      </xdr:nvPicPr>
      <xdr:blipFill>
        <a:blip xmlns:r="http://schemas.openxmlformats.org/officeDocument/2006/relationships" r:embed="rId2"/>
        <a:stretch>
          <a:fillRect/>
        </a:stretch>
      </xdr:blipFill>
      <xdr:spPr>
        <a:xfrm>
          <a:off x="3025139" y="1455420"/>
          <a:ext cx="845821" cy="373380"/>
        </a:xfrm>
        <a:prstGeom prst="rect">
          <a:avLst/>
        </a:prstGeom>
      </xdr:spPr>
    </xdr:pic>
    <xdr:clientData/>
  </xdr:twoCellAnchor>
  <xdr:twoCellAnchor editAs="oneCell">
    <xdr:from>
      <xdr:col>15</xdr:col>
      <xdr:colOff>281940</xdr:colOff>
      <xdr:row>10</xdr:row>
      <xdr:rowOff>99060</xdr:rowOff>
    </xdr:from>
    <xdr:to>
      <xdr:col>18</xdr:col>
      <xdr:colOff>396240</xdr:colOff>
      <xdr:row>17</xdr:row>
      <xdr:rowOff>7620</xdr:rowOff>
    </xdr:to>
    <mc:AlternateContent xmlns:mc="http://schemas.openxmlformats.org/markup-compatibility/2006" xmlns:a14="http://schemas.microsoft.com/office/drawing/2010/main">
      <mc:Choice Requires="a14">
        <xdr:graphicFrame macro="">
          <xdr:nvGraphicFramePr>
            <xdr:cNvPr id="44" name="PaymentType 1">
              <a:extLst>
                <a:ext uri="{FF2B5EF4-FFF2-40B4-BE49-F238E27FC236}">
                  <a16:creationId xmlns:a16="http://schemas.microsoft.com/office/drawing/2014/main" id="{1C85678E-F8D1-4C56-BBEA-24D77F611AF9}"/>
                </a:ext>
              </a:extLst>
            </xdr:cNvPr>
            <xdr:cNvGraphicFramePr/>
          </xdr:nvGraphicFramePr>
          <xdr:xfrm>
            <a:off x="0" y="0"/>
            <a:ext cx="0" cy="0"/>
          </xdr:xfrm>
          <a:graphic>
            <a:graphicData uri="http://schemas.microsoft.com/office/drawing/2010/slicer">
              <sle:slicer xmlns:sle="http://schemas.microsoft.com/office/drawing/2010/slicer" name="PaymentType 1"/>
            </a:graphicData>
          </a:graphic>
        </xdr:graphicFrame>
      </mc:Choice>
      <mc:Fallback xmlns="">
        <xdr:sp macro="" textlink="">
          <xdr:nvSpPr>
            <xdr:cNvPr id="0" name=""/>
            <xdr:cNvSpPr>
              <a:spLocks noTextEdit="1"/>
            </xdr:cNvSpPr>
          </xdr:nvSpPr>
          <xdr:spPr>
            <a:xfrm>
              <a:off x="9425940" y="1927860"/>
              <a:ext cx="1943100" cy="11887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160020</xdr:rowOff>
    </xdr:from>
    <xdr:to>
      <xdr:col>18</xdr:col>
      <xdr:colOff>403860</xdr:colOff>
      <xdr:row>10</xdr:row>
      <xdr:rowOff>7620</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FC80A3CE-C150-4A63-B118-2C3AA97B265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10700" y="525780"/>
              <a:ext cx="1965960" cy="13106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472440</xdr:colOff>
      <xdr:row>10</xdr:row>
      <xdr:rowOff>106680</xdr:rowOff>
    </xdr:from>
    <xdr:to>
      <xdr:col>22</xdr:col>
      <xdr:colOff>586740</xdr:colOff>
      <xdr:row>17</xdr:row>
      <xdr:rowOff>15239</xdr:rowOff>
    </xdr:to>
    <mc:AlternateContent xmlns:mc="http://schemas.openxmlformats.org/markup-compatibility/2006" xmlns:a14="http://schemas.microsoft.com/office/drawing/2010/main">
      <mc:Choice Requires="a14">
        <xdr:graphicFrame macro="">
          <xdr:nvGraphicFramePr>
            <xdr:cNvPr id="46" name="SaleType 1">
              <a:extLst>
                <a:ext uri="{FF2B5EF4-FFF2-40B4-BE49-F238E27FC236}">
                  <a16:creationId xmlns:a16="http://schemas.microsoft.com/office/drawing/2014/main" id="{B8C58581-ECF3-49C6-9C02-FB491EE4BD7F}"/>
                </a:ext>
              </a:extLst>
            </xdr:cNvPr>
            <xdr:cNvGraphicFramePr/>
          </xdr:nvGraphicFramePr>
          <xdr:xfrm>
            <a:off x="0" y="0"/>
            <a:ext cx="0" cy="0"/>
          </xdr:xfrm>
          <a:graphic>
            <a:graphicData uri="http://schemas.microsoft.com/office/drawing/2010/slicer">
              <sle:slicer xmlns:sle="http://schemas.microsoft.com/office/drawing/2010/slicer" name="SaleType 1"/>
            </a:graphicData>
          </a:graphic>
        </xdr:graphicFrame>
      </mc:Choice>
      <mc:Fallback xmlns="">
        <xdr:sp macro="" textlink="">
          <xdr:nvSpPr>
            <xdr:cNvPr id="0" name=""/>
            <xdr:cNvSpPr>
              <a:spLocks noTextEdit="1"/>
            </xdr:cNvSpPr>
          </xdr:nvSpPr>
          <xdr:spPr>
            <a:xfrm>
              <a:off x="11445240" y="1935480"/>
              <a:ext cx="2552700" cy="118871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2</xdr:row>
      <xdr:rowOff>144780</xdr:rowOff>
    </xdr:from>
    <xdr:to>
      <xdr:col>22</xdr:col>
      <xdr:colOff>601980</xdr:colOff>
      <xdr:row>9</xdr:row>
      <xdr:rowOff>175260</xdr:rowOff>
    </xdr:to>
    <mc:AlternateContent xmlns:mc="http://schemas.openxmlformats.org/markup-compatibility/2006" xmlns:a14="http://schemas.microsoft.com/office/drawing/2010/main">
      <mc:Choice Requires="a14">
        <xdr:graphicFrame macro="">
          <xdr:nvGraphicFramePr>
            <xdr:cNvPr id="48" name="month num 1">
              <a:extLst>
                <a:ext uri="{FF2B5EF4-FFF2-40B4-BE49-F238E27FC236}">
                  <a16:creationId xmlns:a16="http://schemas.microsoft.com/office/drawing/2014/main" id="{6B5C170B-87F0-4672-AC4D-8D680EFB9EBF}"/>
                </a:ext>
              </a:extLst>
            </xdr:cNvPr>
            <xdr:cNvGraphicFramePr/>
          </xdr:nvGraphicFramePr>
          <xdr:xfrm>
            <a:off x="0" y="0"/>
            <a:ext cx="0" cy="0"/>
          </xdr:xfrm>
          <a:graphic>
            <a:graphicData uri="http://schemas.microsoft.com/office/drawing/2010/slicer">
              <sle:slicer xmlns:sle="http://schemas.microsoft.com/office/drawing/2010/slicer" name="month num 1"/>
            </a:graphicData>
          </a:graphic>
        </xdr:graphicFrame>
      </mc:Choice>
      <mc:Fallback xmlns="">
        <xdr:sp macro="" textlink="">
          <xdr:nvSpPr>
            <xdr:cNvPr id="0" name=""/>
            <xdr:cNvSpPr>
              <a:spLocks noTextEdit="1"/>
            </xdr:cNvSpPr>
          </xdr:nvSpPr>
          <xdr:spPr>
            <a:xfrm>
              <a:off x="11452860" y="510540"/>
              <a:ext cx="2560320" cy="13106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106680</xdr:rowOff>
    </xdr:from>
    <xdr:to>
      <xdr:col>7</xdr:col>
      <xdr:colOff>594360</xdr:colOff>
      <xdr:row>31</xdr:row>
      <xdr:rowOff>45720</xdr:rowOff>
    </xdr:to>
    <xdr:graphicFrame macro="">
      <xdr:nvGraphicFramePr>
        <xdr:cNvPr id="49" name="Chart 48">
          <a:extLst>
            <a:ext uri="{FF2B5EF4-FFF2-40B4-BE49-F238E27FC236}">
              <a16:creationId xmlns:a16="http://schemas.microsoft.com/office/drawing/2014/main" id="{012BE1AD-017F-42AE-B3F8-CAE3F20FD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83820</xdr:rowOff>
    </xdr:from>
    <xdr:to>
      <xdr:col>8</xdr:col>
      <xdr:colOff>15240</xdr:colOff>
      <xdr:row>21</xdr:row>
      <xdr:rowOff>15240</xdr:rowOff>
    </xdr:to>
    <xdr:graphicFrame macro="">
      <xdr:nvGraphicFramePr>
        <xdr:cNvPr id="50" name="Chart 49">
          <a:extLst>
            <a:ext uri="{FF2B5EF4-FFF2-40B4-BE49-F238E27FC236}">
              <a16:creationId xmlns:a16="http://schemas.microsoft.com/office/drawing/2014/main" id="{5B9EF8A3-B8FF-4BCF-8334-3ADDB4FF4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121920</xdr:colOff>
      <xdr:row>10</xdr:row>
      <xdr:rowOff>91440</xdr:rowOff>
    </xdr:from>
    <xdr:to>
      <xdr:col>15</xdr:col>
      <xdr:colOff>182880</xdr:colOff>
      <xdr:row>21</xdr:row>
      <xdr:rowOff>45720</xdr:rowOff>
    </xdr:to>
    <xdr:graphicFrame macro="">
      <xdr:nvGraphicFramePr>
        <xdr:cNvPr id="51" name="Chart 50">
          <a:extLst>
            <a:ext uri="{FF2B5EF4-FFF2-40B4-BE49-F238E27FC236}">
              <a16:creationId xmlns:a16="http://schemas.microsoft.com/office/drawing/2014/main" id="{A2E3C479-51D1-4799-8A68-A66876466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297180</xdr:colOff>
      <xdr:row>17</xdr:row>
      <xdr:rowOff>106680</xdr:rowOff>
    </xdr:from>
    <xdr:to>
      <xdr:col>23</xdr:col>
      <xdr:colOff>15240</xdr:colOff>
      <xdr:row>31</xdr:row>
      <xdr:rowOff>60960</xdr:rowOff>
    </xdr:to>
    <xdr:graphicFrame macro="">
      <xdr:nvGraphicFramePr>
        <xdr:cNvPr id="52" name="Chart 51">
          <a:extLst>
            <a:ext uri="{FF2B5EF4-FFF2-40B4-BE49-F238E27FC236}">
              <a16:creationId xmlns:a16="http://schemas.microsoft.com/office/drawing/2014/main" id="{A190F645-7DC8-4372-AE21-AC0CE0D6C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121920</xdr:colOff>
      <xdr:row>21</xdr:row>
      <xdr:rowOff>137160</xdr:rowOff>
    </xdr:from>
    <xdr:to>
      <xdr:col>15</xdr:col>
      <xdr:colOff>213360</xdr:colOff>
      <xdr:row>31</xdr:row>
      <xdr:rowOff>60960</xdr:rowOff>
    </xdr:to>
    <xdr:graphicFrame macro="">
      <xdr:nvGraphicFramePr>
        <xdr:cNvPr id="53" name="Chart 52">
          <a:extLst>
            <a:ext uri="{FF2B5EF4-FFF2-40B4-BE49-F238E27FC236}">
              <a16:creationId xmlns:a16="http://schemas.microsoft.com/office/drawing/2014/main" id="{4B7369CA-7818-495C-A3F4-5D684C700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281940</xdr:colOff>
      <xdr:row>7</xdr:row>
      <xdr:rowOff>15240</xdr:rowOff>
    </xdr:from>
    <xdr:to>
      <xdr:col>11</xdr:col>
      <xdr:colOff>327660</xdr:colOff>
      <xdr:row>10</xdr:row>
      <xdr:rowOff>7620</xdr:rowOff>
    </xdr:to>
    <xdr:pic>
      <xdr:nvPicPr>
        <xdr:cNvPr id="54" name="Picture 53">
          <a:extLst>
            <a:ext uri="{FF2B5EF4-FFF2-40B4-BE49-F238E27FC236}">
              <a16:creationId xmlns:a16="http://schemas.microsoft.com/office/drawing/2014/main" id="{89D64AC6-49D2-4BCD-80E2-A0C2305A4807}"/>
            </a:ext>
          </a:extLst>
        </xdr:cNvPr>
        <xdr:cNvPicPr>
          <a:picLocks noChangeAspect="1"/>
        </xdr:cNvPicPr>
      </xdr:nvPicPr>
      <xdr:blipFill>
        <a:blip xmlns:r="http://schemas.openxmlformats.org/officeDocument/2006/relationships" r:embed="rId8"/>
        <a:stretch>
          <a:fillRect/>
        </a:stretch>
      </xdr:blipFill>
      <xdr:spPr>
        <a:xfrm>
          <a:off x="5768340" y="1295400"/>
          <a:ext cx="1264920" cy="541020"/>
        </a:xfrm>
        <a:prstGeom prst="rect">
          <a:avLst/>
        </a:prstGeom>
      </xdr:spPr>
    </xdr:pic>
    <xdr:clientData/>
  </xdr:twoCellAnchor>
  <xdr:twoCellAnchor>
    <xdr:from>
      <xdr:col>0</xdr:col>
      <xdr:colOff>45720</xdr:colOff>
      <xdr:row>2</xdr:row>
      <xdr:rowOff>160020</xdr:rowOff>
    </xdr:from>
    <xdr:to>
      <xdr:col>2</xdr:col>
      <xdr:colOff>579120</xdr:colOff>
      <xdr:row>5</xdr:row>
      <xdr:rowOff>45720</xdr:rowOff>
    </xdr:to>
    <xdr:sp macro="" textlink="">
      <xdr:nvSpPr>
        <xdr:cNvPr id="3" name="Rectangle 2">
          <a:extLst>
            <a:ext uri="{FF2B5EF4-FFF2-40B4-BE49-F238E27FC236}">
              <a16:creationId xmlns:a16="http://schemas.microsoft.com/office/drawing/2014/main" id="{CAE42D78-A1D6-4375-A96F-0817652F3153}"/>
            </a:ext>
          </a:extLst>
        </xdr:cNvPr>
        <xdr:cNvSpPr/>
      </xdr:nvSpPr>
      <xdr:spPr>
        <a:xfrm>
          <a:off x="45720" y="525780"/>
          <a:ext cx="1752600" cy="434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ysClr val="windowText" lastClr="000000"/>
              </a:solidFill>
              <a:effectLst/>
              <a:latin typeface="+mn-lt"/>
              <a:ea typeface="+mn-ea"/>
              <a:cs typeface="+mn-cs"/>
            </a:rPr>
            <a:t>Category01</a:t>
          </a:r>
          <a:r>
            <a:rPr lang="en-US" sz="1400">
              <a:solidFill>
                <a:sysClr val="windowText" lastClr="000000"/>
              </a:solidFill>
            </a:rPr>
            <a:t> </a:t>
          </a:r>
          <a:endParaRPr lang="en-AE" sz="1400">
            <a:solidFill>
              <a:sysClr val="windowText" lastClr="000000"/>
            </a:solidFill>
          </a:endParaRPr>
        </a:p>
      </xdr:txBody>
    </xdr:sp>
    <xdr:clientData/>
  </xdr:twoCellAnchor>
  <xdr:twoCellAnchor>
    <xdr:from>
      <xdr:col>6</xdr:col>
      <xdr:colOff>91440</xdr:colOff>
      <xdr:row>2</xdr:row>
      <xdr:rowOff>160020</xdr:rowOff>
    </xdr:from>
    <xdr:to>
      <xdr:col>9</xdr:col>
      <xdr:colOff>160020</xdr:colOff>
      <xdr:row>5</xdr:row>
      <xdr:rowOff>45720</xdr:rowOff>
    </xdr:to>
    <xdr:sp macro="" textlink="">
      <xdr:nvSpPr>
        <xdr:cNvPr id="37" name="Rectangle 36">
          <a:extLst>
            <a:ext uri="{FF2B5EF4-FFF2-40B4-BE49-F238E27FC236}">
              <a16:creationId xmlns:a16="http://schemas.microsoft.com/office/drawing/2014/main" id="{BDEF88F5-DD39-473B-9E27-345B86246277}"/>
            </a:ext>
          </a:extLst>
        </xdr:cNvPr>
        <xdr:cNvSpPr/>
      </xdr:nvSpPr>
      <xdr:spPr>
        <a:xfrm>
          <a:off x="3749040" y="525780"/>
          <a:ext cx="1897380" cy="434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ysClr val="windowText" lastClr="000000"/>
              </a:solidFill>
              <a:effectLst/>
              <a:latin typeface="+mn-lt"/>
              <a:ea typeface="+mn-ea"/>
              <a:cs typeface="+mn-cs"/>
            </a:rPr>
            <a:t>Category0</a:t>
          </a:r>
          <a:r>
            <a:rPr lang="ar-EG" sz="1400" b="0" i="0" u="none" strike="noStrike">
              <a:solidFill>
                <a:sysClr val="windowText" lastClr="000000"/>
              </a:solidFill>
              <a:effectLst/>
              <a:latin typeface="+mn-lt"/>
              <a:ea typeface="+mn-ea"/>
              <a:cs typeface="+mn-cs"/>
            </a:rPr>
            <a:t>3</a:t>
          </a:r>
          <a:r>
            <a:rPr lang="en-US" sz="1400" b="0" i="0" u="none" strike="noStrike">
              <a:solidFill>
                <a:sysClr val="windowText" lastClr="000000"/>
              </a:solidFill>
              <a:effectLst/>
              <a:latin typeface="+mn-lt"/>
              <a:ea typeface="+mn-ea"/>
              <a:cs typeface="+mn-cs"/>
            </a:rPr>
            <a:t> </a:t>
          </a:r>
          <a:endParaRPr lang="en-AE" sz="1400" b="0" i="0" u="none" strike="noStrike">
            <a:solidFill>
              <a:sysClr val="windowText" lastClr="000000"/>
            </a:solidFill>
            <a:effectLst/>
            <a:latin typeface="+mn-lt"/>
            <a:ea typeface="+mn-ea"/>
            <a:cs typeface="+mn-cs"/>
          </a:endParaRPr>
        </a:p>
      </xdr:txBody>
    </xdr:sp>
    <xdr:clientData/>
  </xdr:twoCellAnchor>
  <xdr:twoCellAnchor>
    <xdr:from>
      <xdr:col>12</xdr:col>
      <xdr:colOff>213360</xdr:colOff>
      <xdr:row>2</xdr:row>
      <xdr:rowOff>167640</xdr:rowOff>
    </xdr:from>
    <xdr:to>
      <xdr:col>15</xdr:col>
      <xdr:colOff>175260</xdr:colOff>
      <xdr:row>5</xdr:row>
      <xdr:rowOff>53340</xdr:rowOff>
    </xdr:to>
    <xdr:sp macro="" textlink="">
      <xdr:nvSpPr>
        <xdr:cNvPr id="39" name="Rectangle 38">
          <a:extLst>
            <a:ext uri="{FF2B5EF4-FFF2-40B4-BE49-F238E27FC236}">
              <a16:creationId xmlns:a16="http://schemas.microsoft.com/office/drawing/2014/main" id="{13A2F750-87F8-433D-9F22-B99439835EDE}"/>
            </a:ext>
          </a:extLst>
        </xdr:cNvPr>
        <xdr:cNvSpPr/>
      </xdr:nvSpPr>
      <xdr:spPr>
        <a:xfrm>
          <a:off x="7528560" y="533400"/>
          <a:ext cx="1790700" cy="434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ysClr val="windowText" lastClr="000000"/>
              </a:solidFill>
              <a:effectLst/>
              <a:latin typeface="+mn-lt"/>
              <a:ea typeface="+mn-ea"/>
              <a:cs typeface="+mn-cs"/>
            </a:rPr>
            <a:t>Category0</a:t>
          </a:r>
          <a:r>
            <a:rPr lang="ar-EG" sz="1400" b="0" i="0" u="none" strike="noStrike">
              <a:solidFill>
                <a:sysClr val="windowText" lastClr="000000"/>
              </a:solidFill>
              <a:effectLst/>
              <a:latin typeface="+mn-lt"/>
              <a:ea typeface="+mn-ea"/>
              <a:cs typeface="+mn-cs"/>
            </a:rPr>
            <a:t>5</a:t>
          </a:r>
          <a:r>
            <a:rPr lang="en-US" sz="1400" b="0" i="0" u="none" strike="noStrike">
              <a:solidFill>
                <a:sysClr val="windowText" lastClr="000000"/>
              </a:solidFill>
              <a:effectLst/>
              <a:latin typeface="+mn-lt"/>
              <a:ea typeface="+mn-ea"/>
              <a:cs typeface="+mn-cs"/>
            </a:rPr>
            <a:t> </a:t>
          </a:r>
          <a:endParaRPr lang="en-AE" sz="1400" b="0" i="0" u="none" strike="noStrike">
            <a:solidFill>
              <a:sysClr val="windowText" lastClr="000000"/>
            </a:solidFill>
            <a:effectLst/>
            <a:latin typeface="+mn-lt"/>
            <a:ea typeface="+mn-ea"/>
            <a:cs typeface="+mn-cs"/>
          </a:endParaRPr>
        </a:p>
      </xdr:txBody>
    </xdr:sp>
    <xdr:clientData/>
  </xdr:twoCellAnchor>
  <xdr:twoCellAnchor>
    <xdr:from>
      <xdr:col>9</xdr:col>
      <xdr:colOff>243840</xdr:colOff>
      <xdr:row>2</xdr:row>
      <xdr:rowOff>160020</xdr:rowOff>
    </xdr:from>
    <xdr:to>
      <xdr:col>12</xdr:col>
      <xdr:colOff>152400</xdr:colOff>
      <xdr:row>5</xdr:row>
      <xdr:rowOff>45720</xdr:rowOff>
    </xdr:to>
    <xdr:sp macro="" textlink="">
      <xdr:nvSpPr>
        <xdr:cNvPr id="41" name="Rectangle 40">
          <a:extLst>
            <a:ext uri="{FF2B5EF4-FFF2-40B4-BE49-F238E27FC236}">
              <a16:creationId xmlns:a16="http://schemas.microsoft.com/office/drawing/2014/main" id="{0EB6D29E-C253-4D66-BBC3-E32E4AF8A07D}"/>
            </a:ext>
          </a:extLst>
        </xdr:cNvPr>
        <xdr:cNvSpPr/>
      </xdr:nvSpPr>
      <xdr:spPr>
        <a:xfrm>
          <a:off x="5730240" y="525780"/>
          <a:ext cx="1737360" cy="434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ysClr val="windowText" lastClr="000000"/>
              </a:solidFill>
              <a:effectLst/>
              <a:latin typeface="+mn-lt"/>
              <a:ea typeface="+mn-ea"/>
              <a:cs typeface="+mn-cs"/>
            </a:rPr>
            <a:t>Category0</a:t>
          </a:r>
          <a:r>
            <a:rPr lang="ar-EG" sz="1400" b="0" i="0" u="none" strike="noStrike">
              <a:solidFill>
                <a:sysClr val="windowText" lastClr="000000"/>
              </a:solidFill>
              <a:effectLst/>
              <a:latin typeface="+mn-lt"/>
              <a:ea typeface="+mn-ea"/>
              <a:cs typeface="+mn-cs"/>
            </a:rPr>
            <a:t>4</a:t>
          </a:r>
          <a:r>
            <a:rPr lang="en-US" sz="1400" b="0" i="0" u="none" strike="noStrike">
              <a:solidFill>
                <a:sysClr val="windowText" lastClr="000000"/>
              </a:solidFill>
              <a:effectLst/>
              <a:latin typeface="+mn-lt"/>
              <a:ea typeface="+mn-ea"/>
              <a:cs typeface="+mn-cs"/>
            </a:rPr>
            <a:t> </a:t>
          </a:r>
          <a:endParaRPr lang="en-AE" sz="1400" b="0" i="0" u="none" strike="noStrike">
            <a:solidFill>
              <a:sysClr val="windowText" lastClr="000000"/>
            </a:solidFill>
            <a:effectLst/>
            <a:latin typeface="+mn-lt"/>
            <a:ea typeface="+mn-ea"/>
            <a:cs typeface="+mn-cs"/>
          </a:endParaRPr>
        </a:p>
      </xdr:txBody>
    </xdr:sp>
    <xdr:clientData/>
  </xdr:twoCellAnchor>
  <xdr:twoCellAnchor>
    <xdr:from>
      <xdr:col>3</xdr:col>
      <xdr:colOff>30480</xdr:colOff>
      <xdr:row>2</xdr:row>
      <xdr:rowOff>152400</xdr:rowOff>
    </xdr:from>
    <xdr:to>
      <xdr:col>6</xdr:col>
      <xdr:colOff>22860</xdr:colOff>
      <xdr:row>5</xdr:row>
      <xdr:rowOff>38100</xdr:rowOff>
    </xdr:to>
    <xdr:sp macro="" textlink="">
      <xdr:nvSpPr>
        <xdr:cNvPr id="42" name="Rectangle 41">
          <a:extLst>
            <a:ext uri="{FF2B5EF4-FFF2-40B4-BE49-F238E27FC236}">
              <a16:creationId xmlns:a16="http://schemas.microsoft.com/office/drawing/2014/main" id="{CBF1E41F-6138-4B94-8F4E-CA04F14602CB}"/>
            </a:ext>
          </a:extLst>
        </xdr:cNvPr>
        <xdr:cNvSpPr/>
      </xdr:nvSpPr>
      <xdr:spPr>
        <a:xfrm>
          <a:off x="1859280" y="518160"/>
          <a:ext cx="1821180" cy="434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ysClr val="windowText" lastClr="000000"/>
              </a:solidFill>
              <a:effectLst/>
              <a:latin typeface="+mn-lt"/>
              <a:ea typeface="+mn-ea"/>
              <a:cs typeface="+mn-cs"/>
            </a:rPr>
            <a:t>Category</a:t>
          </a:r>
          <a:r>
            <a:rPr lang="ar-EG" sz="1400" b="0" i="0" u="none" strike="noStrike">
              <a:solidFill>
                <a:sysClr val="windowText" lastClr="000000"/>
              </a:solidFill>
              <a:effectLst/>
              <a:latin typeface="+mn-lt"/>
              <a:ea typeface="+mn-ea"/>
              <a:cs typeface="+mn-cs"/>
            </a:rPr>
            <a:t>02</a:t>
          </a:r>
          <a:r>
            <a:rPr lang="en-US" sz="1400">
              <a:solidFill>
                <a:sysClr val="windowText" lastClr="000000"/>
              </a:solidFill>
            </a:rPr>
            <a:t> </a:t>
          </a:r>
          <a:endParaRPr lang="en-AE" sz="1400" b="0" i="0" u="none" strike="noStrike">
            <a:solidFill>
              <a:sysClr val="windowText" lastClr="000000"/>
            </a:solidFill>
            <a:effectLst/>
            <a:latin typeface="+mn-lt"/>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266204" createdVersion="7" refreshedVersion="7" minRefreshableVersion="3" recordCount="0" supportSubquery="1" supportAdvancedDrill="1" xr:uid="{6476B5C4-FC5D-4070-BDBC-E29788A73E0E}">
  <cacheSource type="external" connectionId="3"/>
  <cacheFields count="2">
    <cacheField name="[InputData].[Month].[Month]" caption="Month" numFmtId="0" hierarchy="5" level="1">
      <sharedItems count="12">
        <s v="Apr"/>
        <s v="Aug"/>
        <s v="Dec"/>
        <s v="Feb"/>
        <s v="Jan"/>
        <s v="Jul"/>
        <s v="Jun"/>
        <s v="Mar"/>
        <s v="May"/>
        <s v="Nov"/>
        <s v="Oct"/>
        <s v="Sep"/>
      </sharedItems>
    </cacheField>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0" memberValueDatatype="130" unbalanced="0"/>
    <cacheHierarchy uniqueName="[InputData].[PaymentType]" caption="PaymentType" attribute="1" defaultMemberUniqueName="[InputData].[PaymentType].[All]" allUniqueName="[InputData].[PaymentType].[All]" dimensionUniqueName="[InputData]" displayFolder="" count="0" memberValueDatatype="130" unbalanced="0"/>
    <cacheHierarchy uniqueName="[InputData].[Month]" caption="Month" attribute="1" defaultMemberUniqueName="[InputData].[Month].[All]" allUniqueName="[InputData].[Month].[All]" dimensionUniqueName="[InputData]" displayFolder="" count="2" memberValueDatatype="130" unbalanced="0">
      <fieldsUsage count="2">
        <fieldUsage x="-1"/>
        <fieldUsage x="0"/>
      </fieldsUsage>
    </cacheHierarchy>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1"/>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0"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3009256" createdVersion="7" refreshedVersion="7" minRefreshableVersion="3" recordCount="0" supportSubquery="1" supportAdvancedDrill="1" xr:uid="{58810DFF-EADB-436B-8A53-BE4EE8468E85}">
  <cacheSource type="external" connectionId="3"/>
  <cacheFields count="2">
    <cacheField name="[Measures].[Sum of Profit 2]" caption="Sum of Profit 2" numFmtId="0" hierarchy="36" level="32767"/>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1"/>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3703703" createdVersion="7" refreshedVersion="7" minRefreshableVersion="3" recordCount="0" supportSubquery="1" supportAdvancedDrill="1" xr:uid="{BBA6EED4-4083-40E0-9EDE-185DF172F77B}">
  <cacheSource type="external" connectionId="3"/>
  <cacheFields count="3">
    <cacheField name="[Measures].[Sum of SellingPrice]" caption="Sum of SellingPrice" numFmtId="0" hierarchy="34" level="32767"/>
    <cacheField name="[InputData].[PaymentType].[PaymentType]" caption="PaymentType" numFmtId="0" hierarchy="4" level="1">
      <sharedItems count="2">
        <s v="Cash"/>
        <s v="Online"/>
      </sharedItems>
    </cacheField>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fieldsUsage count="2">
        <fieldUsage x="-1"/>
        <fieldUsage x="1"/>
      </fieldsUsage>
    </cacheHierarchy>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2"/>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4282411" createdVersion="7" refreshedVersion="7" minRefreshableVersion="3" recordCount="0" supportSubquery="1" supportAdvancedDrill="1" xr:uid="{44480540-C8A8-4112-BEA8-E5EC1574C4D4}">
  <cacheSource type="external" connectionId="3"/>
  <cacheFields count="3">
    <cacheField name="[InputData].[SaleType].[SaleType]" caption="SaleType" numFmtId="0" hierarchy="3" level="1">
      <sharedItems count="3">
        <s v="Direct Sales"/>
        <s v="Online"/>
        <s v="Wholesaler"/>
      </sharedItems>
    </cacheField>
    <cacheField name="[Measures].[Sum of SellingPrice]" caption="Sum of SellingPrice" numFmtId="0" hierarchy="34" level="32767"/>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fieldsUsage count="2">
        <fieldUsage x="-1"/>
        <fieldUsage x="0"/>
      </fieldsUsage>
    </cacheHierarchy>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2"/>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4629627" createdVersion="7" refreshedVersion="7" minRefreshableVersion="3" recordCount="0" supportSubquery="1" supportAdvancedDrill="1" xr:uid="{925E00BE-7ACA-4D43-A9CD-B7017A2C2D1E}">
  <cacheSource type="external" connectionId="3"/>
  <cacheFields count="2">
    <cacheField name="[Measures].[Sum of Profit 2]" caption="Sum of Profit 2" numFmtId="0" hierarchy="36" level="32767"/>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1"/>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5324073" createdVersion="7" refreshedVersion="7" minRefreshableVersion="3" recordCount="0" supportSubquery="1" supportAdvancedDrill="1" xr:uid="{4F4F202D-4075-413B-A078-89FF53F13EF3}">
  <cacheSource type="external" connectionId="3"/>
  <cacheFields count="4">
    <cacheField name="[MasterData].[PRODUCT].[PRODUCT]" caption="PRODUCT" numFmtId="0" hierarchy="17" level="1">
      <sharedItems count="1">
        <s v="Product01"/>
      </sharedItems>
    </cacheField>
    <cacheField name="[Measures].[Sum of Profit 2]" caption="Sum of Profit 2" numFmtId="0" hierarchy="36" level="32767"/>
    <cacheField name="[MasterData].[CATEGORY].[CATEGORY]" caption="CATEGORY" numFmtId="0" hierarchy="18" level="1">
      <sharedItems count="5">
        <s v="Category01"/>
        <s v="Category02"/>
        <s v="Category03"/>
        <s v="Category04"/>
        <s v="Category05"/>
      </sharedItems>
    </cacheField>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3"/>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2" memberValueDatatype="130" unbalanced="0">
      <fieldsUsage count="2">
        <fieldUsage x="-1"/>
        <fieldUsage x="0"/>
      </fieldsUsage>
    </cacheHierarchy>
    <cacheHierarchy uniqueName="[MasterData].[CATEGORY]" caption="CATEGORY" attribute="1" defaultMemberUniqueName="[MasterData].[CATEGORY].[All]" allUniqueName="[MasterData].[CATEGORY].[All]" dimensionUniqueName="[MasterData]" displayFolder="" count="2" memberValueDatatype="130" unbalanced="0">
      <fieldsUsage count="2">
        <fieldUsage x="-1"/>
        <fieldUsage x="2"/>
      </fieldsUsage>
    </cacheHierarchy>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6249997" createdVersion="7" refreshedVersion="7" minRefreshableVersion="3" recordCount="0" supportSubquery="1" supportAdvancedDrill="1" xr:uid="{B34EE96D-34F5-477E-95BB-7FFA6BDDB51E}">
  <cacheSource type="external" connectionId="3"/>
  <cacheFields count="3">
    <cacheField name="[InputData].[ProductID].[ProductID]" caption="ProductID" numFmtId="0" hierarchy="1" level="1">
      <sharedItems count="1">
        <s v="P0042"/>
      </sharedItems>
    </cacheField>
    <cacheField name="[Measures].[Sum of SellingPrice]" caption="Sum of SellingPrice" numFmtId="0" hierarchy="34" level="32767"/>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2" memberValueDatatype="130" unbalanced="0">
      <fieldsUsage count="2">
        <fieldUsage x="-1"/>
        <fieldUsage x="0"/>
      </fieldsUsage>
    </cacheHierarchy>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2"/>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6828705" createdVersion="7" refreshedVersion="7" minRefreshableVersion="3" recordCount="0" supportSubquery="1" supportAdvancedDrill="1" xr:uid="{DF8D116F-0586-4889-BBBC-C9764AC77D93}">
  <cacheSource type="external" connectionId="3"/>
  <cacheFields count="4">
    <cacheField name="[InputData].[Month].[Month]" caption="Month" numFmtId="0" hierarchy="5" level="1">
      <sharedItems count="12">
        <s v="Apr"/>
        <s v="Aug"/>
        <s v="Dec"/>
        <s v="Feb"/>
        <s v="Jan"/>
        <s v="Jul"/>
        <s v="Jun"/>
        <s v="Mar"/>
        <s v="May"/>
        <s v="Nov"/>
        <s v="Oct"/>
        <s v="Sep"/>
      </sharedItems>
    </cacheField>
    <cacheField name="[Measures].[Sum of Profit 2]" caption="Sum of Profit 2" numFmtId="0" hierarchy="36" level="32767"/>
    <cacheField name="[InputData].[month num].[month num]" caption="month num" numFmtId="0" hierarchy="6" level="1">
      <sharedItems containsSemiMixedTypes="0" containsNonDate="0" containsString="0"/>
    </cacheField>
    <cacheField name="Dummy0" numFmtId="0" hierarchy="42" level="32767">
      <extLst>
        <ext xmlns:x14="http://schemas.microsoft.com/office/spreadsheetml/2009/9/main" uri="{63CAB8AC-B538-458d-9737-405883B0398D}">
          <x14:cacheField ignore="1"/>
        </ext>
      </extLst>
    </cacheField>
  </cacheFields>
  <cacheHierarchies count="43">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2" memberValueDatatype="130" unbalanced="0">
      <fieldsUsage count="2">
        <fieldUsage x="-1"/>
        <fieldUsage x="0"/>
      </fieldsUsage>
    </cacheHierarchy>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2"/>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7291667" createdVersion="7" refreshedVersion="7" minRefreshableVersion="3" recordCount="0" supportSubquery="1" supportAdvancedDrill="1" xr:uid="{674A2FEB-791D-4368-88F2-231221F5C4E2}">
  <cacheSource type="external" connectionId="3"/>
  <cacheFields count="2">
    <cacheField name="[Measures].[Sum of SellingPrice]" caption="Sum of SellingPrice" numFmtId="0" hierarchy="34" level="32767"/>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1"/>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7986113" createdVersion="7" refreshedVersion="7" minRefreshableVersion="3" recordCount="0" supportSubquery="1" supportAdvancedDrill="1" xr:uid="{CE114CD5-668E-4781-95F7-34BC518C42B4}">
  <cacheSource type="external" connectionId="3"/>
  <cacheFields count="3">
    <cacheField name="[MasterData].[CATEGORY].[CATEGORY]" caption="CATEGORY" numFmtId="0" hierarchy="18" level="1">
      <sharedItems count="5">
        <s v="Category01"/>
        <s v="Category02"/>
        <s v="Category03"/>
        <s v="Category04"/>
        <s v="Category05"/>
      </sharedItems>
    </cacheField>
    <cacheField name="[Measures].[Sum of SellingPrice]" caption="Sum of SellingPrice" numFmtId="0" hierarchy="34" level="32767"/>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2"/>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2" memberValueDatatype="130" unbalanced="0">
      <fieldsUsage count="2">
        <fieldUsage x="-1"/>
        <fieldUsage x="0"/>
      </fieldsUsage>
    </cacheHierarchy>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5.045508449075" createdVersion="7" refreshedVersion="7" minRefreshableVersion="3" recordCount="0" supportSubquery="1" supportAdvancedDrill="1" xr:uid="{CA035C20-C957-4BE9-8033-5A6D807D002E}">
  <cacheSource type="external" connectionId="3"/>
  <cacheFields count="3">
    <cacheField name="[Measures].[Sum of SellingPrice]" caption="Sum of SellingPrice" numFmtId="0" hierarchy="34" level="32767"/>
    <cacheField name="[InputData].[ProductID].[ProductID]" caption="ProductID" numFmtId="0" hierarchy="1" level="1">
      <sharedItems count="44">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haredItems>
    </cacheField>
    <cacheField name="[InputData].[month num].[month num]" caption="month num" numFmtId="0" hierarchy="6" level="1">
      <sharedItems containsSemiMixedTypes="0" containsNonDate="0" containsString="0"/>
    </cacheField>
  </cacheFields>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2" memberValueDatatype="130" unbalanced="0">
      <fieldsUsage count="2">
        <fieldUsage x="-1"/>
        <fieldUsage x="1"/>
      </fieldsUsage>
    </cacheHierarchy>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fieldsUsage count="2">
        <fieldUsage x="-1"/>
        <fieldUsage x="2"/>
      </fieldsUsage>
    </cacheHierarchy>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dimensions count="5">
    <dimension name="InputData" uniqueName="[InputData]" caption="InputData"/>
    <dimension name="InputData 1" uniqueName="[InputData 1]" caption="InputData 1"/>
    <dimension name="MasterData" uniqueName="[MasterData]" caption="MasterData"/>
    <dimension name="MasterData 1" uniqueName="[MasterData 1]" caption="MasterData 1"/>
    <dimension measure="1" name="Measures" uniqueName="[Measures]" caption="Measures"/>
  </dimensions>
  <measureGroups count="4">
    <measureGroup name="InputData" caption="InputData"/>
    <measureGroup name="InputData 1" caption="InputData 1"/>
    <measureGroup name="MasterData" caption="MasterData"/>
    <measureGroup name="MasterData 1" caption="MasterData 1"/>
  </measureGroups>
  <maps count="6">
    <map measureGroup="0" dimension="0"/>
    <map measureGroup="0" dimension="2"/>
    <map measureGroup="1" dimension="1"/>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2.78986863426" createdVersion="3" refreshedVersion="7" minRefreshableVersion="3" recordCount="0" supportSubquery="1" supportAdvancedDrill="1" xr:uid="{C5264640-1C00-4DF2-99EC-17E72A4A6ABE}">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InputData].[Date]" caption="Date" attribute="1" time="1" defaultMemberUniqueName="[InputData].[Date].[All]" allUniqueName="[InputData].[Date].[All]" dimensionUniqueName="[InputData]" displayFolder="" count="0" memberValueDatatype="7" unbalanced="0"/>
    <cacheHierarchy uniqueName="[InputData].[ProductID]" caption="ProductID" attribute="1" defaultMemberUniqueName="[InputData].[ProductID].[All]" allUniqueName="[InputData].[ProductID].[All]" dimensionUniqueName="[InputData]" displayFolder="" count="0" memberValueDatatype="130" unbalanced="0"/>
    <cacheHierarchy uniqueName="[InputData].[Quantity]" caption="Quantity" attribute="1" defaultMemberUniqueName="[InputData].[Quantity].[All]" allUniqueName="[InputData].[Quantity].[All]" dimensionUniqueName="[InputData]" displayFolder="" count="0" memberValueDatatype="20" unbalanced="0"/>
    <cacheHierarchy uniqueName="[InputData].[SaleType]" caption="SaleType" attribute="1" defaultMemberUniqueName="[InputData].[SaleType].[All]" allUniqueName="[InputData].[SaleType].[All]" dimensionUniqueName="[InputData]" displayFolder="" count="2" memberValueDatatype="130" unbalanced="0"/>
    <cacheHierarchy uniqueName="[InputData].[PaymentType]" caption="PaymentType" attribute="1" defaultMemberUniqueName="[InputData].[PaymentType].[All]" allUniqueName="[InputData].[PaymentType].[All]" dimensionUniqueName="[InputData]" displayFolder="" count="2" memberValueDatatype="130" unbalanced="0"/>
    <cacheHierarchy uniqueName="[InputData].[Month]" caption="Month" attribute="1" defaultMemberUniqueName="[InputData].[Month].[All]" allUniqueName="[InputData].[Month].[All]" dimensionUniqueName="[InputData]" displayFolder="" count="0" memberValueDatatype="130" unbalanced="0"/>
    <cacheHierarchy uniqueName="[InputData].[month num]" caption="month num" attribute="1" defaultMemberUniqueName="[InputData].[month num].[All]" allUniqueName="[InputData].[month num].[All]" dimensionUniqueName="[InputData]" displayFolder="" count="2" memberValueDatatype="20" unbalanced="0"/>
    <cacheHierarchy uniqueName="[InputData].[SellingPrice]" caption="SellingPrice" attribute="1" defaultMemberUniqueName="[InputData].[SellingPrice].[All]" allUniqueName="[InputData].[SellingPrice].[All]" dimensionUniqueName="[InputData]" displayFolder="" count="0" memberValueDatatype="5" unbalanced="0"/>
    <cacheHierarchy uniqueName="[InputData].[Profit]" caption="Profit" attribute="1" defaultMemberUniqueName="[InputData].[Profit].[All]" allUniqueName="[InputData].[Profit].[All]" dimensionUniqueName="[InputData]" displayFolder="" count="0" memberValueDatatype="5" unbalanced="0"/>
    <cacheHierarchy uniqueName="[InputData].[year]" caption="year" attribute="1" defaultMemberUniqueName="[InputData].[year].[All]" allUniqueName="[InputData].[year].[All]" dimensionUniqueName="[InputData]" displayFolder="" count="2" memberValueDatatype="130" unbalanced="0"/>
    <cacheHierarchy uniqueName="[InputData 1].[DATE]" caption="DATE" attribute="1" time="1" defaultMemberUniqueName="[InputData 1].[DATE].[All]" allUniqueName="[InputData 1].[DATE].[All]" dimensionUniqueName="[InputData 1]" displayFolder="" count="0" memberValueDatatype="7" unbalanced="0"/>
    <cacheHierarchy uniqueName="[InputData 1].[PRODUCT ID]" caption="PRODUCT ID" attribute="1" defaultMemberUniqueName="[InputData 1].[PRODUCT ID].[All]" allUniqueName="[InputData 1].[PRODUCT ID].[All]" dimensionUniqueName="[InputData 1]" displayFolder="" count="0" memberValueDatatype="130" unbalanced="0"/>
    <cacheHierarchy uniqueName="[InputData 1].[QUANTITY]" caption="QUANTITY" attribute="1" defaultMemberUniqueName="[InputData 1].[QUANTITY].[All]" allUniqueName="[InputData 1].[QUANTITY].[All]" dimensionUniqueName="[InputData 1]" displayFolder="" count="0" memberValueDatatype="20" unbalanced="0"/>
    <cacheHierarchy uniqueName="[InputData 1].[SALE TYPE]" caption="SALE TYPE" attribute="1" defaultMemberUniqueName="[InputData 1].[SALE TYPE].[All]" allUniqueName="[InputData 1].[SALE TYPE].[All]" dimensionUniqueName="[InputData 1]" displayFolder="" count="0" memberValueDatatype="130" unbalanced="0"/>
    <cacheHierarchy uniqueName="[InputData 1].[PAYMENT MODE]" caption="PAYMENT MODE" attribute="1" defaultMemberUniqueName="[InputData 1].[PAYMENT MODE].[All]" allUniqueName="[InputData 1].[PAYMENT MODE].[All]" dimensionUniqueName="[InputData 1]" displayFolder="" count="0" memberValueDatatype="130" unbalanced="0"/>
    <cacheHierarchy uniqueName="[InputData 1].[DISCOUNT %]" caption="DISCOUNT %" attribute="1" defaultMemberUniqueName="[InputData 1].[DISCOUNT %].[All]" allUniqueName="[InputData 1].[DISCOUNT %].[All]" dimensionUniqueName="[InputData 1]" displayFolder="" count="0" memberValueDatatype="20" unbalanced="0"/>
    <cacheHierarchy uniqueName="[MasterData].[PRODUCT ID]" caption="PRODUCT ID" attribute="1" defaultMemberUniqueName="[MasterData].[PRODUCT ID].[All]" allUniqueName="[MasterData].[PRODUCT ID].[All]" dimensionUniqueName="[MasterData]" displayFolder="" count="0" memberValueDatatype="130" unbalanced="0"/>
    <cacheHierarchy uniqueName="[MasterData].[PRODUCT]" caption="PRODUCT" attribute="1" defaultMemberUniqueName="[MasterData].[PRODUCT].[All]" allUniqueName="[MasterData].[PRODUCT].[All]" dimensionUniqueName="[MasterData]" displayFolder="" count="0" memberValueDatatype="130" unbalanced="0"/>
    <cacheHierarchy uniqueName="[MasterData].[CATEGORY]" caption="CATEGORY" attribute="1" defaultMemberUniqueName="[MasterData].[CATEGORY].[All]" allUniqueName="[MasterData].[CATEGORY].[All]" dimensionUniqueName="[MasterData]" displayFolder="" count="0" memberValueDatatype="130" unbalanced="0"/>
    <cacheHierarchy uniqueName="[MasterData].[Unit of Measure]" caption="Unit of Measure" attribute="1" defaultMemberUniqueName="[MasterData].[Unit of Measure].[All]" allUniqueName="[MasterData].[Unit of Measure].[All]" dimensionUniqueName="[MasterData]" displayFolder="" count="0" memberValueDatatype="130" unbalanced="0"/>
    <cacheHierarchy uniqueName="[MasterData].[BuyingPrice]" caption="BuyingPrice" attribute="1" defaultMemberUniqueName="[MasterData].[BuyingPrice].[All]" allUniqueName="[MasterData].[BuyingPrice].[All]" dimensionUniqueName="[MasterData]" displayFolder="" count="0" memberValueDatatype="5" unbalanced="0"/>
    <cacheHierarchy uniqueName="[MasterData].[SellingPrice]" caption="SellingPrice" attribute="1" defaultMemberUniqueName="[MasterData].[SellingPrice].[All]" allUniqueName="[MasterData].[SellingPrice].[All]" dimensionUniqueName="[MasterData]" displayFolder="" count="0" memberValueDatatype="5" unbalanced="0"/>
    <cacheHierarchy uniqueName="[MasterData].[Profit]" caption="Profit" attribute="1" defaultMemberUniqueName="[MasterData].[Profit].[All]" allUniqueName="[MasterData].[Profit].[All]" dimensionUniqueName="[MasterData]" displayFolder="" count="0" memberValueDatatype="5" unbalanced="0"/>
    <cacheHierarchy uniqueName="[MasterData 1].[PRODUCT ID]" caption="PRODUCT ID" attribute="1" defaultMemberUniqueName="[MasterData 1].[PRODUCT ID].[All]" allUniqueName="[MasterData 1].[PRODUCT ID].[All]" dimensionUniqueName="[MasterData 1]" displayFolder="" count="0" memberValueDatatype="130" unbalanced="0"/>
    <cacheHierarchy uniqueName="[MasterData 1].[PRODUCT]" caption="PRODUCT" attribute="1" defaultMemberUniqueName="[MasterData 1].[PRODUCT].[All]" allUniqueName="[MasterData 1].[PRODUCT].[All]" dimensionUniqueName="[MasterData 1]" displayFolder="" count="0" memberValueDatatype="130" unbalanced="0"/>
    <cacheHierarchy uniqueName="[MasterData 1].[CATEGORY]" caption="CATEGORY" attribute="1" defaultMemberUniqueName="[MasterData 1].[CATEGORY].[All]" allUniqueName="[MasterData 1].[CATEGORY].[All]" dimensionUniqueName="[MasterData 1]" displayFolder="" count="0" memberValueDatatype="130" unbalanced="0"/>
    <cacheHierarchy uniqueName="[MasterData 1].[UOM]" caption="UOM" attribute="1" defaultMemberUniqueName="[MasterData 1].[UOM].[All]" allUniqueName="[MasterData 1].[UOM].[All]" dimensionUniqueName="[MasterData 1]" displayFolder="" count="0" memberValueDatatype="130" unbalanced="0"/>
    <cacheHierarchy uniqueName="[MasterData 1].[BUYING PRIZE]" caption="BUYING PRIZE" attribute="1" defaultMemberUniqueName="[MasterData 1].[BUYING PRIZE].[All]" allUniqueName="[MasterData 1].[BUYING PRIZE].[All]" dimensionUniqueName="[MasterData 1]" displayFolder="" count="0" memberValueDatatype="20" unbalanced="0"/>
    <cacheHierarchy uniqueName="[MasterData 1].[SELLING PRICE]" caption="SELLING PRICE" attribute="1" defaultMemberUniqueName="[MasterData 1].[SELLING PRICE].[All]" allUniqueName="[MasterData 1].[SELLING PRICE].[All]" dimensionUniqueName="[MasterData 1]" displayFolder="" count="0" memberValueDatatype="5" unbalanced="0"/>
    <cacheHierarchy uniqueName="[Measures].[__XL_Count MasterData]" caption="__XL_Count MasterData" measure="1" displayFolder="" measureGroup="MasterData" count="0" hidden="1"/>
    <cacheHierarchy uniqueName="[Measures].[__XL_Count InputData]" caption="__XL_Count InputData" measure="1" displayFolder="" measureGroup="InputData" count="0" hidden="1"/>
    <cacheHierarchy uniqueName="[Measures].[__XL_Count InputData 1]" caption="__XL_Count InputData 1" measure="1" displayFolder="" measureGroup="InputData 1" count="0" hidden="1"/>
    <cacheHierarchy uniqueName="[Measures].[__XL_Count MasterData 1]" caption="__XL_Count MasterData 1" measure="1" displayFolder="" measureGroup="MasterData 1" count="0" hidden="1"/>
    <cacheHierarchy uniqueName="[Measures].[__No measures defined]" caption="__No measures defined" measure="1" displayFolder="" count="0" hidden="1"/>
    <cacheHierarchy uniqueName="[Measures].[Sum of SellingPrice]" caption="Sum of SellingPrice" measure="1" displayFolder="" measureGroup="InputData"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MasterData" count="0" hidden="1">
      <extLst>
        <ext xmlns:x15="http://schemas.microsoft.com/office/spreadsheetml/2010/11/main" uri="{B97F6D7D-B522-45F9-BDA1-12C45D357490}">
          <x15:cacheHierarchy aggregatedColumn="22"/>
        </ext>
      </extLst>
    </cacheHierarchy>
    <cacheHierarchy uniqueName="[Measures].[Sum of Profit 2]" caption="Sum of Profit 2" measure="1" displayFolder="" measureGroup="InputData"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MasterData" count="0" hidden="1">
      <extLst>
        <ext xmlns:x15="http://schemas.microsoft.com/office/spreadsheetml/2010/11/main" uri="{B97F6D7D-B522-45F9-BDA1-12C45D357490}">
          <x15:cacheHierarchy aggregatedColumn="18"/>
        </ext>
      </extLst>
    </cacheHierarchy>
    <cacheHierarchy uniqueName="[Measures].[Sum of SellingPrice 2]" caption="Sum of SellingPrice 2" measure="1" displayFolder="" measureGroup="MasterData" count="0" hidden="1">
      <extLst>
        <ext xmlns:x15="http://schemas.microsoft.com/office/spreadsheetml/2010/11/main" uri="{B97F6D7D-B522-45F9-BDA1-12C45D357490}">
          <x15:cacheHierarchy aggregatedColumn="21"/>
        </ext>
      </extLst>
    </cacheHierarchy>
    <cacheHierarchy uniqueName="[Measures].[Count of Unit of Measure]" caption="Count of Unit of Measure" measure="1" displayFolder="" measureGroup="MasterData" count="0" hidden="1">
      <extLst>
        <ext xmlns:x15="http://schemas.microsoft.com/office/spreadsheetml/2010/11/main" uri="{B97F6D7D-B522-45F9-BDA1-12C45D357490}">
          <x15:cacheHierarchy aggregatedColumn="19"/>
        </ext>
      </extLst>
    </cacheHierarchy>
    <cacheHierarchy uniqueName="[Measures].[Sum of month num]" caption="Sum of month num" measure="1" displayFolder="" measureGroup="InputData" count="0" hidden="1">
      <extLst>
        <ext xmlns:x15="http://schemas.microsoft.com/office/spreadsheetml/2010/11/main" uri="{B97F6D7D-B522-45F9-BDA1-12C45D357490}">
          <x15:cacheHierarchy aggregatedColumn="6"/>
        </ext>
      </extLst>
    </cacheHierarchy>
    <cacheHierarchy uniqueName="[Measures].[Distinct Count of month num]" caption="Distinct Count of month num" measure="1" displayFolder="" measureGroup="Input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3915376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BB8948-3C54-4A38-829F-3E88920C827D}" name="PivotTable13" cacheId="2249" applyNumberFormats="0" applyBorderFormats="0" applyFontFormats="0" applyPatternFormats="0" applyAlignmentFormats="0" applyWidthHeightFormats="1" dataCaption="Values" tag="2afd3f87-6aee-474d-96d4-63e2750bb3f4" updatedVersion="7" minRefreshableVersion="3" useAutoFormatting="1" subtotalHiddenItems="1" rowGrandTotals="0" itemPrintTitles="1" createdVersion="7" indent="0" outline="1" outlineData="1" multipleFieldFilters="0">
  <location ref="AK18:AK30" firstHeaderRow="1" firstDataRow="1" firstDataCol="1" rowPageCount="1" colPageCount="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axis="axisPage" allDrilled="1" subtotalTop="0" showAll="0" dataSourceSort="1" defaultSubtotal="0" defaultAttributeDrillState="1"/>
  </pivotFields>
  <rowFields count="1">
    <field x="0"/>
  </rowFields>
  <rowItems count="12">
    <i>
      <x/>
    </i>
    <i>
      <x v="1"/>
    </i>
    <i>
      <x v="2"/>
    </i>
    <i>
      <x v="3"/>
    </i>
    <i>
      <x v="4"/>
    </i>
    <i>
      <x v="5"/>
    </i>
    <i>
      <x v="6"/>
    </i>
    <i>
      <x v="7"/>
    </i>
    <i>
      <x v="8"/>
    </i>
    <i>
      <x v="9"/>
    </i>
    <i>
      <x v="10"/>
    </i>
    <i>
      <x v="11"/>
    </i>
  </rowItems>
  <pageFields count="1">
    <pageField fld="1" hier="6" name="[InputData].[month num].[All]" cap="All"/>
  </pageFields>
  <pivotHierarchies count="4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month num"/>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pu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877120-947E-452D-9796-E3F4CFB8FA07}" name="percentage of sales  per sales type" cacheId="2258" applyNumberFormats="0" applyBorderFormats="0" applyFontFormats="0" applyPatternFormats="0" applyAlignmentFormats="0" applyWidthHeightFormats="1" dataCaption="Values" tag="c74f27b7-78d5-42dc-b944-98f8792d48bb" updatedVersion="7" minRefreshableVersion="3" useAutoFormatting="1" subtotalHiddenItems="1" rowGrandTotals="0" itemPrintTitles="1" createdVersion="7" indent="0" outline="1" outlineData="1" multipleFieldFilters="0" chartFormat="10">
  <location ref="R3:S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SellingPrice" fld="1" showDataAs="percentOfTotal" baseField="0" baseItem="0" numFmtId="1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FD812-C4D9-4DC2-96D6-D6CE7D5475E2}" name="percentage of sales  per payment type" cacheId="2255" applyNumberFormats="0" applyBorderFormats="0" applyFontFormats="0" applyPatternFormats="0" applyAlignmentFormats="0" applyWidthHeightFormats="1" dataCaption="Values" tag="5b891d67-e87d-4f0a-b0fe-35e2f7b6738a" updatedVersion="7" minRefreshableVersion="3" useAutoFormatting="1" subtotalHiddenItems="1" rowGrandTotals="0" itemPrintTitles="1" createdVersion="7" indent="0" outline="1" outlineData="1" multipleFieldFilters="0">
  <location ref="V3:W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Sum of SellingPrice" fld="0" showDataAs="percentOfTotal" baseField="0" baseItem="0" numFmtId="10"/>
  </dataField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C15EC-EEE3-4081-90C8-68AC98625837}" name="total &amp; percentage  profit per month" cacheId="2270" applyNumberFormats="0" applyBorderFormats="0" applyFontFormats="0" applyPatternFormats="0" applyAlignmentFormats="0" applyWidthHeightFormats="1" dataCaption="Values" tag="cd2ad912-21d0-43ba-b002-9819145a25b3" updatedVersion="7" minRefreshableVersion="3" useAutoFormatting="1" subtotalHiddenItems="1" rowGrandTotals="0" itemPrintTitles="1" createdVersion="7" indent="0" outline="1" outlineData="1" multipleFieldFilters="0" chartFormat="10">
  <location ref="J3:L15" firstHeaderRow="0" firstDataRow="1" firstDataCol="1"/>
  <pivotFields count="4">
    <pivotField axis="axisRow" allDrilled="1" subtotalTop="0" showAll="0" defaultSubtotal="0" defaultAttributeDrillState="1">
      <items count="12">
        <item x="4"/>
        <item x="0"/>
        <item x="1"/>
        <item x="2"/>
        <item x="3"/>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Sum of Profit" fld="1" baseField="0" baseItem="0"/>
    <dataField name="Sum of Profit2" fld="3" showDataAs="percentOfTotal" baseField="0" baseItem="0" numFmtId="10">
      <extLst>
        <ext xmlns:x14="http://schemas.microsoft.com/office/spreadsheetml/2009/9/main" uri="{E15A36E0-9728-4e99-A89B-3F7291B0FE68}">
          <x14:dataField sourceField="1" uniqueName="[__Xl2].[Measures].[Sum of Profit 2]"/>
        </ext>
      </extLst>
    </dataField>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C7B753-3C47-4596-84B7-FDC985211640}" name="total sales per product" cacheId="2279" applyNumberFormats="0" applyBorderFormats="0" applyFontFormats="0" applyPatternFormats="0" applyAlignmentFormats="0" applyWidthHeightFormats="1" dataCaption="Values" tag="d12f78ca-efb5-47e8-a01c-3a5754399ed3" updatedVersion="7" minRefreshableVersion="3" enableDrill="0" useAutoFormatting="1" subtotalHiddenItems="1" rowGrandTotals="0" itemPrintTitles="1" createdVersion="7" indent="0" showHeaders="0" outline="1" outlineData="1" multipleFieldFilters="0" chartFormat="8">
  <location ref="N3:O47" firstHeaderRow="1" firstDataRow="1" firstDataCol="1"/>
  <pivotFields count="3">
    <pivotField dataField="1" subtotalTop="0" showAll="0" defaultSubtotal="0"/>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llDrilled="1" subtotalTop="0" showAll="0" dataSourceSort="1" defaultSubtotal="0" defaultAttributeDrillState="1"/>
  </pivotFields>
  <rowFields count="1">
    <field x="1"/>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Items count="1">
    <i/>
  </colItems>
  <dataFields count="1">
    <dataField name="Sum of SellingPrice" fld="0"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352073-ADAB-4498-B712-5EBC21209AE4}" name="top product per sales" cacheId="2267" applyNumberFormats="0" applyBorderFormats="0" applyFontFormats="0" applyPatternFormats="0" applyAlignmentFormats="0" applyWidthHeightFormats="1" dataCaption="Values" tag="44996da8-aa89-49a4-b41e-9ffe3369dfe8" updatedVersion="7" minRefreshableVersion="3" useAutoFormatting="1" subtotalHiddenItems="1" rowGrandTotals="0" itemPrintTitles="1" createdVersion="7" indent="0" outline="1" outlineData="1" multipleFieldFilters="0">
  <location ref="Z3:AA4"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Sum of SellingPrice" fld="1" baseField="0" baseItem="0"/>
  </dataField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23A3F6-E810-4605-9916-AA1BC61B605A}" name="percentage of profit" cacheId="2252" applyNumberFormats="0" applyBorderFormats="0" applyFontFormats="0" applyPatternFormats="0" applyAlignmentFormats="0" applyWidthHeightFormats="1" dataCaption="Values" tag="7e496f68-e60d-4d44-8b08-717a63de60ed" updatedVersion="7" minRefreshableVersion="3" useAutoFormatting="1" subtotalHiddenItems="1" itemPrintTitles="1" createdVersion="7" indent="0" outline="1" outlineData="1" multipleFieldFilters="0" chartFormat="7">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showDataAs="percentOfTotal" baseField="0" baseItem="0" numFmtId="10"/>
  </dataField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76A7C9-B9B9-4A94-A58F-11E30C7FF99E}" name="total sales" cacheId="2273" applyNumberFormats="0" applyBorderFormats="0" applyFontFormats="0" applyPatternFormats="0" applyAlignmentFormats="0" applyWidthHeightFormats="1" dataCaption="Values" tag="f36c6305-2a36-4c85-a289-97ff5a4a30cf"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ellingPrice" fld="0" baseField="0" baseItem="0" numFmtId="1"/>
  </dataFields>
  <formats count="1">
    <format dxfId="144">
      <pivotArea outline="0" collapsedLevelsAreSubtotals="1" fieldPosition="0"/>
    </format>
  </format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43B2F8-22F3-4E5D-B637-789130CE4E74}" name="top category  per profit" cacheId="2264" applyNumberFormats="0" applyBorderFormats="0" applyFontFormats="0" applyPatternFormats="0" applyAlignmentFormats="0" applyWidthHeightFormats="1" dataCaption="Values" tag="2739225b-56a3-40d3-baff-922b8f252478" updatedVersion="7" minRefreshableVersion="3" useAutoFormatting="1" subtotalHiddenItems="1" rowGrandTotals="0" colGrandTotals="0" itemPrintTitles="1" createdVersion="7" indent="0" outline="1" outlineData="1" multipleFieldFilters="0" chartFormat="9">
  <location ref="AD3:AE8" firstHeaderRow="1" firstDataRow="1" firstDataCol="1"/>
  <pivotFields count="4">
    <pivotField allDrilled="1" subtotalTop="0" showAll="0" measureFilter="1"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Sum of Profit" fld="1"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6" iMeasureHier="39">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8C1499-B2C4-4C29-86BB-18C15EA3E2C5}" name="PivotTable4" cacheId="2261" applyNumberFormats="0" applyBorderFormats="0" applyFontFormats="0" applyPatternFormats="0" applyAlignmentFormats="0" applyWidthHeightFormats="1" dataCaption="Values" tag="4138c170-fe26-44dc-984d-a3355a991161" updatedVersion="7" minRefreshableVersion="3" useAutoFormatting="1" subtotalHiddenItems="1" itemPrintTitles="1" createdVersion="7"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
  </dataFields>
  <formats count="1">
    <format dxfId="145">
      <pivotArea outline="0" collapsedLevelsAreSubtotals="1" fieldPosition="0"/>
    </format>
  </format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6CF5DB-0FAE-4728-B111-EE73F62ADC77}" name="total sales per category" cacheId="2276" applyNumberFormats="0" applyBorderFormats="0" applyFontFormats="0" applyPatternFormats="0" applyAlignmentFormats="0" applyWidthHeightFormats="1" dataCaption="Values" tag="a436a09e-21b6-417f-ac8b-04adb09a0e8d" updatedVersion="7" minRefreshableVersion="3" useAutoFormatting="1" subtotalHiddenItems="1" rowGrandTotals="0" itemPrintTitles="1" createdVersion="7" indent="0" outline="1" outlineData="1" multipleFieldFilters="0" chartFormat="4">
  <location ref="AH3:AI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SellingPrice" fld="1" baseField="0" baseItem="0"/>
  </dataFields>
  <chartFormats count="12">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Hierarchies count="42">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 1]"/>
        <x15:activeTabTopLevelEntity name="[InputData]"/>
        <x15:activeTabTopLevelEntity name="[Master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DB19461A-5AC0-410E-8481-7C24743198A6}" sourceName="[InputData].[PaymentType]">
  <pivotTables>
    <pivotTable tabId="4" name="percentage of profit"/>
    <pivotTable tabId="4" name="percentage of sales  per payment type"/>
    <pivotTable tabId="4" name="percentage of sales  per sales type"/>
    <pivotTable tabId="4" name="top product per sales"/>
    <pivotTable tabId="4" name="PivotTable4"/>
    <pivotTable tabId="4" name="top category  per profit"/>
    <pivotTable tabId="4" name="total &amp; percentage  profit per month"/>
    <pivotTable tabId="4" name="total sales"/>
    <pivotTable tabId="4" name="total sales per category"/>
    <pivotTable tabId="4" name="total sales per product"/>
  </pivotTables>
  <data>
    <olap pivotCacheId="391537630">
      <levels count="2">
        <level uniqueName="[InputData].[PaymentType].[(All)]" sourceCaption="(All)" count="0"/>
        <level uniqueName="[InputData].[PaymentType].[PaymentType]" sourceCaption="PaymentType" count="2">
          <ranges>
            <range startItem="0">
              <i n="[InputData].[PaymentType].&amp;[Cash]" c="Cash"/>
              <i n="[InputData].[PaymentType].&amp;[Online]" c="Online"/>
            </range>
          </ranges>
        </level>
      </levels>
      <selections count="1">
        <selection n="[InputData].[Paymen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Type" xr10:uid="{7D40E15E-B833-4EEA-967F-4EB8C2708A97}" sourceName="[InputData].[SaleType]">
  <pivotTables>
    <pivotTable tabId="4" name="percentage of profit"/>
    <pivotTable tabId="4" name="percentage of sales  per payment type"/>
    <pivotTable tabId="4" name="percentage of sales  per sales type"/>
    <pivotTable tabId="4" name="top product per sales"/>
    <pivotTable tabId="4" name="PivotTable4"/>
    <pivotTable tabId="4" name="top category  per profit"/>
    <pivotTable tabId="4" name="total &amp; percentage  profit per month"/>
    <pivotTable tabId="4" name="total sales"/>
    <pivotTable tabId="4" name="total sales per category"/>
    <pivotTable tabId="4" name="total sales per product"/>
  </pivotTables>
  <data>
    <olap pivotCacheId="391537630">
      <levels count="2">
        <level uniqueName="[InputData].[SaleType].[(All)]" sourceCaption="(All)" count="0"/>
        <level uniqueName="[InputData].[SaleType].[SaleType]" sourceCaption="SaleType" count="3">
          <ranges>
            <range startItem="0">
              <i n="[InputData].[SaleType].&amp;[Direct Sales]" c="Direct Sales"/>
              <i n="[InputData].[SaleType].&amp;[Online]" c="Online"/>
              <i n="[InputData].[SaleType].&amp;[Wholesaler]" c="Wholesaler"/>
            </range>
          </ranges>
        </level>
      </levels>
      <selections count="1">
        <selection n="[InputData].[Sale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42E280-7084-4833-83D6-178D121C7D09}" sourceName="[InputData].[year]">
  <pivotTables>
    <pivotTable tabId="4" name="percentage of profit"/>
    <pivotTable tabId="4" name="percentage of sales  per payment type"/>
    <pivotTable tabId="4" name="percentage of sales  per sales type"/>
    <pivotTable tabId="4" name="top product per sales"/>
    <pivotTable tabId="4" name="PivotTable4"/>
    <pivotTable tabId="4" name="top category  per profit"/>
    <pivotTable tabId="4" name="total &amp; percentage  profit per month"/>
    <pivotTable tabId="4" name="total sales"/>
    <pivotTable tabId="4" name="total sales per category"/>
    <pivotTable tabId="4" name="total sales per product"/>
  </pivotTables>
  <data>
    <olap pivotCacheId="391537630">
      <levels count="2">
        <level uniqueName="[InputData].[year].[(All)]" sourceCaption="(All)" count="0"/>
        <level uniqueName="[InputData].[year].[year]" sourceCaption="year" count="2">
          <ranges>
            <range startItem="0">
              <i n="[InputData].[year].&amp;[2021]" c="2021"/>
              <i n="[InputData].[year].&amp;[2022]" c="2022"/>
            </range>
          </ranges>
        </level>
      </levels>
      <selections count="1">
        <selection n="[InputData].[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 xr10:uid="{08DB7946-7715-4A73-9F28-0E469020E26D}" sourceName="[InputData].[month num]">
  <pivotTables>
    <pivotTable tabId="4" name="PivotTable13"/>
    <pivotTable tabId="4" name="percentage of profit"/>
    <pivotTable tabId="4" name="percentage of sales  per payment type"/>
    <pivotTable tabId="4" name="percentage of sales  per sales type"/>
    <pivotTable tabId="4" name="PivotTable4"/>
    <pivotTable tabId="4" name="top category  per profit"/>
    <pivotTable tabId="4" name="top product per sales"/>
    <pivotTable tabId="4" name="total &amp; percentage  profit per month"/>
    <pivotTable tabId="4" name="total sales"/>
    <pivotTable tabId="4" name="total sales per category"/>
    <pivotTable tabId="4" name="total sales per product"/>
  </pivotTables>
  <data>
    <olap pivotCacheId="391537630">
      <levels count="2">
        <level uniqueName="[InputData].[month num].[(All)]" sourceCaption="(All)" count="0"/>
        <level uniqueName="[InputData].[month num].[month num]" sourceCaption="month num" count="12">
          <ranges>
            <range startItem="0">
              <i n="[InputData].[month num].&amp;[1]" c="1"/>
              <i n="[InputData].[month num].&amp;[2]" c="2"/>
              <i n="[InputData].[month num].&amp;[3]" c="3"/>
              <i n="[InputData].[month num].&amp;[4]" c="4"/>
              <i n="[InputData].[month num].&amp;[5]" c="5"/>
              <i n="[InputData].[month num].&amp;[6]" c="6"/>
              <i n="[InputData].[month num].&amp;[7]" c="7"/>
              <i n="[InputData].[month num].&amp;[8]" c="8"/>
              <i n="[InputData].[month num].&amp;[9]" c="9"/>
              <i n="[InputData].[month num].&amp;[10]" c="10"/>
              <i n="[InputData].[month num].&amp;[11]" c="11"/>
              <i n="[InputData].[month num].&amp;[12]" c="12"/>
            </range>
          </ranges>
        </level>
      </levels>
      <selections count="1">
        <selection n="[InputData].[month nu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Type" xr10:uid="{2B84D7A0-1FE2-47F8-83E8-C837F5F73171}" cache="Slicer_PaymentType" caption="PaymentType" level="1" style="SlicerStyleLight1" rowHeight="234950"/>
  <slicer name="SaleType" xr10:uid="{7FB93F2F-92CA-44DC-8745-F4F59B5D0ACA}" cache="Slicer_SaleType" caption="SaleType" level="1" style="SlicerStyleLight1" rowHeight="234950"/>
  <slicer name="year" xr10:uid="{A43665C3-1264-4CFE-957E-B29D14EC9354}" cache="Slicer_year" caption="year" level="1" style="SlicerStyleLight1" rowHeight="234950"/>
  <slicer name="month num" xr10:uid="{B716FC83-EB91-4C60-8713-1569796EF08E}" cache="Slicer_month_num" caption="month num" columnCount="4" level="1"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Type 1" xr10:uid="{DFECBACB-B134-4B82-8259-40623ED19B4D}" cache="Slicer_PaymentType" caption="PaymentType" level="1" rowHeight="288000"/>
  <slicer name="SaleType 1" xr10:uid="{9BE28EDC-BE75-4E91-B011-7E9B6D33D4CB}" cache="Slicer_SaleType" caption="SaleType" level="1" rowHeight="234950"/>
  <slicer name="year 1" xr10:uid="{B5704D32-7527-40FA-AE81-D979DDD384DE}" cache="Slicer_year" caption="year" level="1" rowHeight="432000"/>
  <slicer name="month num 1" xr10:uid="{1EC2CE7D-3136-46E9-9315-11EB26EE3E09}" cache="Slicer_month_num" caption="month num" columnCount="4"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F528" totalsRowShown="0" headerRowDxfId="162" headerRowBorderDxfId="161">
  <autoFilter ref="A1:F528" xr:uid="{60351B27-4213-4B50-AF1E-6DD234ED1CD8}"/>
  <sortState xmlns:xlrd2="http://schemas.microsoft.com/office/spreadsheetml/2017/richdata2" ref="A2:E527">
    <sortCondition ref="A1:A527"/>
  </sortState>
  <tableColumns count="6">
    <tableColumn id="1" xr3:uid="{7E2D9722-C99A-4D79-AD8A-A4AF24D31B15}" name="DATE" dataDxfId="160"/>
    <tableColumn id="3" xr3:uid="{1B687DA1-746A-409E-8132-464ADA2D65F7}" name="PRODUCT ID" dataDxfId="159"/>
    <tableColumn id="2" xr3:uid="{3D21C161-3520-4EEB-95C2-BC89A67F811B}" name="QUANTITY" dataDxfId="158"/>
    <tableColumn id="4" xr3:uid="{51AFA112-3989-4C7A-B537-003512753602}" name="SALE TYPE" dataDxfId="157"/>
    <tableColumn id="5" xr3:uid="{057B8FDA-60FB-4816-999C-2030B688B9CF}" name="PAYMENT MODE" dataDxfId="156"/>
    <tableColumn id="6" xr3:uid="{A77A9445-20AF-4122-92EB-C3706E536AB4}" name="DISCOUNT %" dataDxfId="155"/>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154" dataDxfId="152" headerRowBorderDxfId="153">
  <autoFilter ref="A1:F46" xr:uid="{DE6FA1E2-6EE8-430A-AF62-020400F3E926}"/>
  <tableColumns count="6">
    <tableColumn id="1" xr3:uid="{106E50BA-9FFB-484D-AC75-176578AFED44}" name="PRODUCT ID" dataDxfId="151"/>
    <tableColumn id="2" xr3:uid="{C6063C4C-22AC-43C3-B630-5C0916CFA263}" name="PRODUCT" dataDxfId="150"/>
    <tableColumn id="3" xr3:uid="{FEA9A0A4-A0D7-45FA-BD75-4D9EBBD09441}" name="CATEGORY" dataDxfId="149"/>
    <tableColumn id="4" xr3:uid="{3BDFD3DA-79CD-4B0E-9F98-1F406523093B}" name="UOM" dataDxfId="148"/>
    <tableColumn id="5" xr3:uid="{C286276F-25D5-4D9D-9759-32EF67A133BE}" name="BUYING PRIZE" dataDxfId="147"/>
    <tableColumn id="6" xr3:uid="{BFC92544-6510-4B40-ABEE-FD6A4B0302D7}" name="SELLING PRICE" dataDxfId="146"/>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F528"/>
  <sheetViews>
    <sheetView workbookViewId="0"/>
  </sheetViews>
  <sheetFormatPr defaultRowHeight="14.4" x14ac:dyDescent="0.3"/>
  <cols>
    <col min="1" max="1" width="10.33203125" bestFit="1" customWidth="1"/>
    <col min="2" max="2" width="15.88671875" bestFit="1" customWidth="1"/>
    <col min="3" max="3" width="14.21875" bestFit="1" customWidth="1"/>
    <col min="4" max="4" width="14.109375" bestFit="1" customWidth="1"/>
    <col min="5" max="5" width="19.77734375" bestFit="1" customWidth="1"/>
    <col min="6" max="6" width="16.21875" bestFit="1" customWidth="1"/>
    <col min="7" max="7" width="13.6640625" bestFit="1" customWidth="1"/>
    <col min="8" max="8" width="14.44140625" bestFit="1" customWidth="1"/>
    <col min="9" max="9" width="9.88671875" bestFit="1" customWidth="1"/>
    <col min="10" max="10" width="17.21875" bestFit="1" customWidth="1"/>
    <col min="11" max="11" width="17.77734375" bestFit="1" customWidth="1"/>
    <col min="12" max="12" width="24.21875" bestFit="1" customWidth="1"/>
    <col min="13" max="13" width="24.5546875" bestFit="1" customWidth="1"/>
  </cols>
  <sheetData>
    <row r="1" spans="1:6" ht="15" thickBot="1" x14ac:dyDescent="0.35">
      <c r="A1" s="2" t="s">
        <v>100</v>
      </c>
      <c r="B1" s="2" t="s">
        <v>0</v>
      </c>
      <c r="C1" s="2" t="s">
        <v>101</v>
      </c>
      <c r="D1" s="2" t="s">
        <v>102</v>
      </c>
      <c r="E1" s="2" t="s">
        <v>103</v>
      </c>
      <c r="F1" s="2" t="s">
        <v>104</v>
      </c>
    </row>
    <row r="2" spans="1:6" x14ac:dyDescent="0.3">
      <c r="A2" s="3">
        <v>44197</v>
      </c>
      <c r="B2" s="4" t="s">
        <v>56</v>
      </c>
      <c r="C2" s="5">
        <v>9</v>
      </c>
      <c r="D2" s="5" t="s">
        <v>105</v>
      </c>
      <c r="E2" s="5" t="s">
        <v>106</v>
      </c>
      <c r="F2" s="6">
        <v>0</v>
      </c>
    </row>
    <row r="3" spans="1:6" x14ac:dyDescent="0.3">
      <c r="A3" s="3">
        <v>44198</v>
      </c>
      <c r="B3" s="4" t="s">
        <v>86</v>
      </c>
      <c r="C3" s="5">
        <v>15</v>
      </c>
      <c r="D3" s="5" t="s">
        <v>106</v>
      </c>
      <c r="E3" s="5" t="s">
        <v>107</v>
      </c>
      <c r="F3" s="6">
        <v>0</v>
      </c>
    </row>
    <row r="4" spans="1:6" x14ac:dyDescent="0.3">
      <c r="A4" s="3">
        <v>44198</v>
      </c>
      <c r="B4" s="4" t="s">
        <v>33</v>
      </c>
      <c r="C4" s="5">
        <v>6</v>
      </c>
      <c r="D4" s="5" t="s">
        <v>108</v>
      </c>
      <c r="E4" s="5" t="s">
        <v>107</v>
      </c>
      <c r="F4" s="6">
        <v>0</v>
      </c>
    </row>
    <row r="5" spans="1:6" x14ac:dyDescent="0.3">
      <c r="A5" s="3">
        <v>44199</v>
      </c>
      <c r="B5" s="4" t="s">
        <v>14</v>
      </c>
      <c r="C5" s="5">
        <v>5</v>
      </c>
      <c r="D5" s="5" t="s">
        <v>108</v>
      </c>
      <c r="E5" s="5" t="s">
        <v>106</v>
      </c>
      <c r="F5" s="6">
        <v>0</v>
      </c>
    </row>
    <row r="6" spans="1:6" x14ac:dyDescent="0.3">
      <c r="A6" s="3">
        <v>44200</v>
      </c>
      <c r="B6" s="4" t="s">
        <v>79</v>
      </c>
      <c r="C6" s="5">
        <v>12</v>
      </c>
      <c r="D6" s="5" t="s">
        <v>106</v>
      </c>
      <c r="E6" s="5" t="s">
        <v>106</v>
      </c>
      <c r="F6" s="6">
        <v>0</v>
      </c>
    </row>
    <row r="7" spans="1:6" x14ac:dyDescent="0.3">
      <c r="A7" s="3">
        <v>44205</v>
      </c>
      <c r="B7" s="4" t="s">
        <v>71</v>
      </c>
      <c r="C7" s="5">
        <v>1</v>
      </c>
      <c r="D7" s="5" t="s">
        <v>108</v>
      </c>
      <c r="E7" s="5" t="s">
        <v>107</v>
      </c>
      <c r="F7" s="6">
        <v>0</v>
      </c>
    </row>
    <row r="8" spans="1:6" x14ac:dyDescent="0.3">
      <c r="A8" s="3">
        <v>44205</v>
      </c>
      <c r="B8" s="4" t="s">
        <v>12</v>
      </c>
      <c r="C8" s="5">
        <v>8</v>
      </c>
      <c r="D8" s="5" t="s">
        <v>108</v>
      </c>
      <c r="E8" s="5" t="s">
        <v>107</v>
      </c>
      <c r="F8" s="6">
        <v>0</v>
      </c>
    </row>
    <row r="9" spans="1:6" x14ac:dyDescent="0.3">
      <c r="A9" s="3">
        <v>44205</v>
      </c>
      <c r="B9" s="4" t="s">
        <v>58</v>
      </c>
      <c r="C9" s="5">
        <v>4</v>
      </c>
      <c r="D9" s="5" t="s">
        <v>108</v>
      </c>
      <c r="E9" s="5" t="s">
        <v>106</v>
      </c>
      <c r="F9" s="6">
        <v>0</v>
      </c>
    </row>
    <row r="10" spans="1:6" x14ac:dyDescent="0.3">
      <c r="A10" s="3">
        <v>44207</v>
      </c>
      <c r="B10" s="4" t="s">
        <v>83</v>
      </c>
      <c r="C10" s="5">
        <v>3</v>
      </c>
      <c r="D10" s="5" t="s">
        <v>108</v>
      </c>
      <c r="E10" s="5" t="s">
        <v>107</v>
      </c>
      <c r="F10" s="6">
        <v>0</v>
      </c>
    </row>
    <row r="11" spans="1:6" x14ac:dyDescent="0.3">
      <c r="A11" s="3">
        <v>44207</v>
      </c>
      <c r="B11" s="4" t="s">
        <v>35</v>
      </c>
      <c r="C11" s="5">
        <v>4</v>
      </c>
      <c r="D11" s="5" t="s">
        <v>105</v>
      </c>
      <c r="E11" s="5" t="s">
        <v>106</v>
      </c>
      <c r="F11" s="6">
        <v>0</v>
      </c>
    </row>
    <row r="12" spans="1:6" x14ac:dyDescent="0.3">
      <c r="A12" s="3">
        <v>44207</v>
      </c>
      <c r="B12" s="4" t="s">
        <v>94</v>
      </c>
      <c r="C12" s="5">
        <v>4</v>
      </c>
      <c r="D12" s="5" t="s">
        <v>108</v>
      </c>
      <c r="E12" s="5" t="s">
        <v>106</v>
      </c>
      <c r="F12" s="6">
        <v>0</v>
      </c>
    </row>
    <row r="13" spans="1:6" x14ac:dyDescent="0.3">
      <c r="A13" s="3">
        <v>44208</v>
      </c>
      <c r="B13" s="4" t="s">
        <v>94</v>
      </c>
      <c r="C13" s="5">
        <v>10</v>
      </c>
      <c r="D13" s="5" t="s">
        <v>106</v>
      </c>
      <c r="E13" s="5" t="s">
        <v>107</v>
      </c>
      <c r="F13" s="6">
        <v>0</v>
      </c>
    </row>
    <row r="14" spans="1:6" x14ac:dyDescent="0.3">
      <c r="A14" s="3">
        <v>44214</v>
      </c>
      <c r="B14" s="4" t="s">
        <v>98</v>
      </c>
      <c r="C14" s="5">
        <v>13</v>
      </c>
      <c r="D14" s="5" t="s">
        <v>108</v>
      </c>
      <c r="E14" s="5" t="s">
        <v>106</v>
      </c>
      <c r="F14" s="6">
        <v>0</v>
      </c>
    </row>
    <row r="15" spans="1:6" x14ac:dyDescent="0.3">
      <c r="A15" s="3">
        <v>44214</v>
      </c>
      <c r="B15" s="4" t="s">
        <v>54</v>
      </c>
      <c r="C15" s="5">
        <v>3</v>
      </c>
      <c r="D15" s="5" t="s">
        <v>106</v>
      </c>
      <c r="E15" s="5" t="s">
        <v>107</v>
      </c>
      <c r="F15" s="6">
        <v>0</v>
      </c>
    </row>
    <row r="16" spans="1:6" x14ac:dyDescent="0.3">
      <c r="A16" s="3">
        <v>44215</v>
      </c>
      <c r="B16" s="4" t="s">
        <v>79</v>
      </c>
      <c r="C16" s="5">
        <v>6</v>
      </c>
      <c r="D16" s="5" t="s">
        <v>108</v>
      </c>
      <c r="E16" s="5" t="s">
        <v>107</v>
      </c>
      <c r="F16" s="6">
        <v>0</v>
      </c>
    </row>
    <row r="17" spans="1:6" x14ac:dyDescent="0.3">
      <c r="A17" s="3">
        <v>44216</v>
      </c>
      <c r="B17" s="4" t="s">
        <v>77</v>
      </c>
      <c r="C17" s="5">
        <v>4</v>
      </c>
      <c r="D17" s="5" t="s">
        <v>108</v>
      </c>
      <c r="E17" s="5" t="s">
        <v>107</v>
      </c>
      <c r="F17" s="6">
        <v>0</v>
      </c>
    </row>
    <row r="18" spans="1:6" x14ac:dyDescent="0.3">
      <c r="A18" s="3">
        <v>44216</v>
      </c>
      <c r="B18" s="4" t="s">
        <v>47</v>
      </c>
      <c r="C18" s="5">
        <v>4</v>
      </c>
      <c r="D18" s="5" t="s">
        <v>108</v>
      </c>
      <c r="E18" s="5" t="s">
        <v>107</v>
      </c>
      <c r="F18" s="6">
        <v>0</v>
      </c>
    </row>
    <row r="19" spans="1:6" x14ac:dyDescent="0.3">
      <c r="A19" s="3">
        <v>44217</v>
      </c>
      <c r="B19" s="4" t="s">
        <v>14</v>
      </c>
      <c r="C19" s="5">
        <v>15</v>
      </c>
      <c r="D19" s="5" t="s">
        <v>105</v>
      </c>
      <c r="E19" s="5" t="s">
        <v>107</v>
      </c>
      <c r="F19" s="6">
        <v>0</v>
      </c>
    </row>
    <row r="20" spans="1:6" x14ac:dyDescent="0.3">
      <c r="A20" s="3">
        <v>44217</v>
      </c>
      <c r="B20" s="4" t="s">
        <v>12</v>
      </c>
      <c r="C20" s="5">
        <v>9</v>
      </c>
      <c r="D20" s="5" t="s">
        <v>108</v>
      </c>
      <c r="E20" s="5" t="s">
        <v>106</v>
      </c>
      <c r="F20" s="6">
        <v>0</v>
      </c>
    </row>
    <row r="21" spans="1:6" x14ac:dyDescent="0.3">
      <c r="A21" s="3">
        <v>44217</v>
      </c>
      <c r="B21" s="4" t="s">
        <v>94</v>
      </c>
      <c r="C21" s="5">
        <v>6</v>
      </c>
      <c r="D21" s="5" t="s">
        <v>108</v>
      </c>
      <c r="E21" s="5" t="s">
        <v>106</v>
      </c>
      <c r="F21" s="6">
        <v>0</v>
      </c>
    </row>
    <row r="22" spans="1:6" x14ac:dyDescent="0.3">
      <c r="A22" s="3">
        <v>44221</v>
      </c>
      <c r="B22" s="4" t="s">
        <v>77</v>
      </c>
      <c r="C22" s="5">
        <v>6</v>
      </c>
      <c r="D22" s="5" t="s">
        <v>108</v>
      </c>
      <c r="E22" s="5" t="s">
        <v>107</v>
      </c>
      <c r="F22" s="6">
        <v>0</v>
      </c>
    </row>
    <row r="23" spans="1:6" x14ac:dyDescent="0.3">
      <c r="A23" s="3">
        <v>44221</v>
      </c>
      <c r="B23" s="4" t="s">
        <v>79</v>
      </c>
      <c r="C23" s="5">
        <v>7</v>
      </c>
      <c r="D23" s="5" t="s">
        <v>108</v>
      </c>
      <c r="E23" s="5" t="s">
        <v>106</v>
      </c>
      <c r="F23" s="6">
        <v>0</v>
      </c>
    </row>
    <row r="24" spans="1:6" x14ac:dyDescent="0.3">
      <c r="A24" s="3">
        <v>44221</v>
      </c>
      <c r="B24" s="4" t="s">
        <v>71</v>
      </c>
      <c r="C24" s="5">
        <v>14</v>
      </c>
      <c r="D24" s="5" t="s">
        <v>108</v>
      </c>
      <c r="E24" s="5" t="s">
        <v>106</v>
      </c>
      <c r="F24" s="6">
        <v>0</v>
      </c>
    </row>
    <row r="25" spans="1:6" x14ac:dyDescent="0.3">
      <c r="A25" s="3">
        <v>44222</v>
      </c>
      <c r="B25" s="4" t="s">
        <v>98</v>
      </c>
      <c r="C25" s="5">
        <v>9</v>
      </c>
      <c r="D25" s="5" t="s">
        <v>105</v>
      </c>
      <c r="E25" s="5" t="s">
        <v>107</v>
      </c>
      <c r="F25" s="6">
        <v>0</v>
      </c>
    </row>
    <row r="26" spans="1:6" x14ac:dyDescent="0.3">
      <c r="A26" s="3">
        <v>44222</v>
      </c>
      <c r="B26" s="4" t="s">
        <v>18</v>
      </c>
      <c r="C26" s="5">
        <v>7</v>
      </c>
      <c r="D26" s="5" t="s">
        <v>106</v>
      </c>
      <c r="E26" s="5" t="s">
        <v>107</v>
      </c>
      <c r="F26" s="6">
        <v>0</v>
      </c>
    </row>
    <row r="27" spans="1:6" x14ac:dyDescent="0.3">
      <c r="A27" s="3">
        <v>44222</v>
      </c>
      <c r="B27" s="4" t="s">
        <v>6</v>
      </c>
      <c r="C27" s="5">
        <v>7</v>
      </c>
      <c r="D27" s="5" t="s">
        <v>106</v>
      </c>
      <c r="E27" s="5" t="s">
        <v>106</v>
      </c>
      <c r="F27" s="6">
        <v>0</v>
      </c>
    </row>
    <row r="28" spans="1:6" x14ac:dyDescent="0.3">
      <c r="A28" s="3">
        <v>44223</v>
      </c>
      <c r="B28" s="4" t="s">
        <v>90</v>
      </c>
      <c r="C28" s="5">
        <v>7</v>
      </c>
      <c r="D28" s="5" t="s">
        <v>105</v>
      </c>
      <c r="E28" s="5" t="s">
        <v>106</v>
      </c>
      <c r="F28" s="6">
        <v>0</v>
      </c>
    </row>
    <row r="29" spans="1:6" x14ac:dyDescent="0.3">
      <c r="A29" s="3">
        <v>44223</v>
      </c>
      <c r="B29" s="4" t="s">
        <v>73</v>
      </c>
      <c r="C29" s="5">
        <v>3</v>
      </c>
      <c r="D29" s="5" t="s">
        <v>105</v>
      </c>
      <c r="E29" s="5" t="s">
        <v>106</v>
      </c>
      <c r="F29" s="6">
        <v>0</v>
      </c>
    </row>
    <row r="30" spans="1:6" x14ac:dyDescent="0.3">
      <c r="A30" s="3">
        <v>44224</v>
      </c>
      <c r="B30" s="4" t="s">
        <v>14</v>
      </c>
      <c r="C30" s="5">
        <v>10</v>
      </c>
      <c r="D30" s="5" t="s">
        <v>106</v>
      </c>
      <c r="E30" s="5" t="s">
        <v>107</v>
      </c>
      <c r="F30" s="6">
        <v>0</v>
      </c>
    </row>
    <row r="31" spans="1:6" x14ac:dyDescent="0.3">
      <c r="A31" s="3">
        <v>44224</v>
      </c>
      <c r="B31" s="4" t="s">
        <v>67</v>
      </c>
      <c r="C31" s="5">
        <v>2</v>
      </c>
      <c r="D31" s="5" t="s">
        <v>108</v>
      </c>
      <c r="E31" s="5" t="s">
        <v>107</v>
      </c>
      <c r="F31" s="6">
        <v>0</v>
      </c>
    </row>
    <row r="32" spans="1:6" x14ac:dyDescent="0.3">
      <c r="A32" s="3">
        <v>44229</v>
      </c>
      <c r="B32" s="4" t="s">
        <v>26</v>
      </c>
      <c r="C32" s="5">
        <v>7</v>
      </c>
      <c r="D32" s="5" t="s">
        <v>106</v>
      </c>
      <c r="E32" s="5" t="s">
        <v>106</v>
      </c>
      <c r="F32" s="6">
        <v>0</v>
      </c>
    </row>
    <row r="33" spans="1:6" x14ac:dyDescent="0.3">
      <c r="A33" s="3">
        <v>44230</v>
      </c>
      <c r="B33" s="4" t="s">
        <v>39</v>
      </c>
      <c r="C33" s="5">
        <v>13</v>
      </c>
      <c r="D33" s="5" t="s">
        <v>108</v>
      </c>
      <c r="E33" s="5" t="s">
        <v>106</v>
      </c>
      <c r="F33" s="6">
        <v>0</v>
      </c>
    </row>
    <row r="34" spans="1:6" x14ac:dyDescent="0.3">
      <c r="A34" s="3">
        <v>44230</v>
      </c>
      <c r="B34" s="4" t="s">
        <v>52</v>
      </c>
      <c r="C34" s="5">
        <v>2</v>
      </c>
      <c r="D34" s="5" t="s">
        <v>105</v>
      </c>
      <c r="E34" s="5" t="s">
        <v>107</v>
      </c>
      <c r="F34" s="6">
        <v>0</v>
      </c>
    </row>
    <row r="35" spans="1:6" x14ac:dyDescent="0.3">
      <c r="A35" s="3">
        <v>44231</v>
      </c>
      <c r="B35" s="4" t="s">
        <v>83</v>
      </c>
      <c r="C35" s="5">
        <v>4</v>
      </c>
      <c r="D35" s="5" t="s">
        <v>106</v>
      </c>
      <c r="E35" s="5" t="s">
        <v>106</v>
      </c>
      <c r="F35" s="6">
        <v>0</v>
      </c>
    </row>
    <row r="36" spans="1:6" x14ac:dyDescent="0.3">
      <c r="A36" s="3">
        <v>44232</v>
      </c>
      <c r="B36" s="4" t="s">
        <v>96</v>
      </c>
      <c r="C36" s="5">
        <v>7</v>
      </c>
      <c r="D36" s="5" t="s">
        <v>106</v>
      </c>
      <c r="E36" s="5" t="s">
        <v>107</v>
      </c>
      <c r="F36" s="6">
        <v>0</v>
      </c>
    </row>
    <row r="37" spans="1:6" x14ac:dyDescent="0.3">
      <c r="A37" s="3">
        <v>44232</v>
      </c>
      <c r="B37" s="4" t="s">
        <v>16</v>
      </c>
      <c r="C37" s="5">
        <v>1</v>
      </c>
      <c r="D37" s="5" t="s">
        <v>108</v>
      </c>
      <c r="E37" s="5" t="s">
        <v>107</v>
      </c>
      <c r="F37" s="6">
        <v>0</v>
      </c>
    </row>
    <row r="38" spans="1:6" x14ac:dyDescent="0.3">
      <c r="A38" s="3">
        <v>44232</v>
      </c>
      <c r="B38" s="4" t="s">
        <v>96</v>
      </c>
      <c r="C38" s="5">
        <v>9</v>
      </c>
      <c r="D38" s="5" t="s">
        <v>108</v>
      </c>
      <c r="E38" s="5" t="s">
        <v>107</v>
      </c>
      <c r="F38" s="6">
        <v>0</v>
      </c>
    </row>
    <row r="39" spans="1:6" x14ac:dyDescent="0.3">
      <c r="A39" s="3">
        <v>44233</v>
      </c>
      <c r="B39" s="4" t="s">
        <v>79</v>
      </c>
      <c r="C39" s="5">
        <v>1</v>
      </c>
      <c r="D39" s="5" t="s">
        <v>108</v>
      </c>
      <c r="E39" s="5" t="s">
        <v>107</v>
      </c>
      <c r="F39" s="6">
        <v>0</v>
      </c>
    </row>
    <row r="40" spans="1:6" x14ac:dyDescent="0.3">
      <c r="A40" s="3">
        <v>44236</v>
      </c>
      <c r="B40" s="4" t="s">
        <v>77</v>
      </c>
      <c r="C40" s="5">
        <v>14</v>
      </c>
      <c r="D40" s="5" t="s">
        <v>108</v>
      </c>
      <c r="E40" s="5" t="s">
        <v>106</v>
      </c>
      <c r="F40" s="6">
        <v>0</v>
      </c>
    </row>
    <row r="41" spans="1:6" x14ac:dyDescent="0.3">
      <c r="A41" s="3">
        <v>44239</v>
      </c>
      <c r="B41" s="4" t="s">
        <v>22</v>
      </c>
      <c r="C41" s="5">
        <v>7</v>
      </c>
      <c r="D41" s="5" t="s">
        <v>108</v>
      </c>
      <c r="E41" s="5" t="s">
        <v>107</v>
      </c>
      <c r="F41" s="6">
        <v>0</v>
      </c>
    </row>
    <row r="42" spans="1:6" x14ac:dyDescent="0.3">
      <c r="A42" s="3">
        <v>44239</v>
      </c>
      <c r="B42" s="4" t="s">
        <v>54</v>
      </c>
      <c r="C42" s="5">
        <v>9</v>
      </c>
      <c r="D42" s="5" t="s">
        <v>106</v>
      </c>
      <c r="E42" s="5" t="s">
        <v>107</v>
      </c>
      <c r="F42" s="6">
        <v>0</v>
      </c>
    </row>
    <row r="43" spans="1:6" x14ac:dyDescent="0.3">
      <c r="A43" s="3">
        <v>44242</v>
      </c>
      <c r="B43" s="4" t="s">
        <v>63</v>
      </c>
      <c r="C43" s="5">
        <v>4</v>
      </c>
      <c r="D43" s="5" t="s">
        <v>108</v>
      </c>
      <c r="E43" s="5" t="s">
        <v>106</v>
      </c>
      <c r="F43" s="6">
        <v>0</v>
      </c>
    </row>
    <row r="44" spans="1:6" x14ac:dyDescent="0.3">
      <c r="A44" s="3">
        <v>44245</v>
      </c>
      <c r="B44" s="4" t="s">
        <v>37</v>
      </c>
      <c r="C44" s="5">
        <v>6</v>
      </c>
      <c r="D44" s="5" t="s">
        <v>106</v>
      </c>
      <c r="E44" s="5" t="s">
        <v>107</v>
      </c>
      <c r="F44" s="6">
        <v>0</v>
      </c>
    </row>
    <row r="45" spans="1:6" x14ac:dyDescent="0.3">
      <c r="A45" s="3">
        <v>44247</v>
      </c>
      <c r="B45" s="4" t="s">
        <v>69</v>
      </c>
      <c r="C45" s="5">
        <v>11</v>
      </c>
      <c r="D45" s="5" t="s">
        <v>106</v>
      </c>
      <c r="E45" s="5" t="s">
        <v>107</v>
      </c>
      <c r="F45" s="6">
        <v>0</v>
      </c>
    </row>
    <row r="46" spans="1:6" x14ac:dyDescent="0.3">
      <c r="A46" s="3">
        <v>44249</v>
      </c>
      <c r="B46" s="4" t="s">
        <v>33</v>
      </c>
      <c r="C46" s="5">
        <v>5</v>
      </c>
      <c r="D46" s="5" t="s">
        <v>106</v>
      </c>
      <c r="E46" s="5" t="s">
        <v>107</v>
      </c>
      <c r="F46" s="6">
        <v>0</v>
      </c>
    </row>
    <row r="47" spans="1:6" x14ac:dyDescent="0.3">
      <c r="A47" s="3">
        <v>44250</v>
      </c>
      <c r="B47" s="4" t="s">
        <v>58</v>
      </c>
      <c r="C47" s="5">
        <v>3</v>
      </c>
      <c r="D47" s="5" t="s">
        <v>108</v>
      </c>
      <c r="E47" s="5" t="s">
        <v>107</v>
      </c>
      <c r="F47" s="6">
        <v>0</v>
      </c>
    </row>
    <row r="48" spans="1:6" x14ac:dyDescent="0.3">
      <c r="A48" s="3">
        <v>44250</v>
      </c>
      <c r="B48" s="4" t="s">
        <v>16</v>
      </c>
      <c r="C48" s="5">
        <v>2</v>
      </c>
      <c r="D48" s="5" t="s">
        <v>108</v>
      </c>
      <c r="E48" s="5" t="s">
        <v>106</v>
      </c>
      <c r="F48" s="6">
        <v>0</v>
      </c>
    </row>
    <row r="49" spans="1:6" x14ac:dyDescent="0.3">
      <c r="A49" s="3">
        <v>44252</v>
      </c>
      <c r="B49" s="4" t="s">
        <v>10</v>
      </c>
      <c r="C49" s="5">
        <v>4</v>
      </c>
      <c r="D49" s="5" t="s">
        <v>105</v>
      </c>
      <c r="E49" s="5" t="s">
        <v>106</v>
      </c>
      <c r="F49" s="6">
        <v>0</v>
      </c>
    </row>
    <row r="50" spans="1:6" x14ac:dyDescent="0.3">
      <c r="A50" s="3">
        <v>44252</v>
      </c>
      <c r="B50" s="4" t="s">
        <v>73</v>
      </c>
      <c r="C50" s="5">
        <v>11</v>
      </c>
      <c r="D50" s="5" t="s">
        <v>106</v>
      </c>
      <c r="E50" s="5" t="s">
        <v>107</v>
      </c>
      <c r="F50" s="6">
        <v>0</v>
      </c>
    </row>
    <row r="51" spans="1:6" x14ac:dyDescent="0.3">
      <c r="A51" s="3">
        <v>44252</v>
      </c>
      <c r="B51" s="4" t="s">
        <v>69</v>
      </c>
      <c r="C51" s="5">
        <v>2</v>
      </c>
      <c r="D51" s="5" t="s">
        <v>108</v>
      </c>
      <c r="E51" s="5" t="s">
        <v>106</v>
      </c>
      <c r="F51" s="6">
        <v>0</v>
      </c>
    </row>
    <row r="52" spans="1:6" x14ac:dyDescent="0.3">
      <c r="A52" s="3">
        <v>44254</v>
      </c>
      <c r="B52" s="4" t="s">
        <v>43</v>
      </c>
      <c r="C52" s="5">
        <v>11</v>
      </c>
      <c r="D52" s="5" t="s">
        <v>105</v>
      </c>
      <c r="E52" s="5" t="s">
        <v>106</v>
      </c>
      <c r="F52" s="6">
        <v>0</v>
      </c>
    </row>
    <row r="53" spans="1:6" x14ac:dyDescent="0.3">
      <c r="A53" s="3">
        <v>44258</v>
      </c>
      <c r="B53" s="4" t="s">
        <v>29</v>
      </c>
      <c r="C53" s="5">
        <v>1</v>
      </c>
      <c r="D53" s="5" t="s">
        <v>108</v>
      </c>
      <c r="E53" s="5" t="s">
        <v>106</v>
      </c>
      <c r="F53" s="6">
        <v>0</v>
      </c>
    </row>
    <row r="54" spans="1:6" x14ac:dyDescent="0.3">
      <c r="A54" s="3">
        <v>44262</v>
      </c>
      <c r="B54" s="4" t="s">
        <v>50</v>
      </c>
      <c r="C54" s="5">
        <v>9</v>
      </c>
      <c r="D54" s="5" t="s">
        <v>108</v>
      </c>
      <c r="E54" s="5" t="s">
        <v>107</v>
      </c>
      <c r="F54" s="6">
        <v>0</v>
      </c>
    </row>
    <row r="55" spans="1:6" x14ac:dyDescent="0.3">
      <c r="A55" s="3">
        <v>44263</v>
      </c>
      <c r="B55" s="4" t="s">
        <v>63</v>
      </c>
      <c r="C55" s="5">
        <v>6</v>
      </c>
      <c r="D55" s="5" t="s">
        <v>106</v>
      </c>
      <c r="E55" s="5" t="s">
        <v>107</v>
      </c>
      <c r="F55" s="6">
        <v>0</v>
      </c>
    </row>
    <row r="56" spans="1:6" x14ac:dyDescent="0.3">
      <c r="A56" s="3">
        <v>44263</v>
      </c>
      <c r="B56" s="4" t="s">
        <v>98</v>
      </c>
      <c r="C56" s="5">
        <v>9</v>
      </c>
      <c r="D56" s="5" t="s">
        <v>106</v>
      </c>
      <c r="E56" s="5" t="s">
        <v>106</v>
      </c>
      <c r="F56" s="6">
        <v>0</v>
      </c>
    </row>
    <row r="57" spans="1:6" x14ac:dyDescent="0.3">
      <c r="A57" s="3">
        <v>44264</v>
      </c>
      <c r="B57" s="4" t="s">
        <v>67</v>
      </c>
      <c r="C57" s="5">
        <v>6</v>
      </c>
      <c r="D57" s="5" t="s">
        <v>105</v>
      </c>
      <c r="E57" s="5" t="s">
        <v>106</v>
      </c>
      <c r="F57" s="6">
        <v>0</v>
      </c>
    </row>
    <row r="58" spans="1:6" x14ac:dyDescent="0.3">
      <c r="A58" s="3">
        <v>44266</v>
      </c>
      <c r="B58" s="4" t="s">
        <v>58</v>
      </c>
      <c r="C58" s="5">
        <v>11</v>
      </c>
      <c r="D58" s="5" t="s">
        <v>108</v>
      </c>
      <c r="E58" s="5" t="s">
        <v>107</v>
      </c>
      <c r="F58" s="6">
        <v>0</v>
      </c>
    </row>
    <row r="59" spans="1:6" x14ac:dyDescent="0.3">
      <c r="A59" s="3">
        <v>44268</v>
      </c>
      <c r="B59" s="4" t="s">
        <v>65</v>
      </c>
      <c r="C59" s="5">
        <v>10</v>
      </c>
      <c r="D59" s="5" t="s">
        <v>105</v>
      </c>
      <c r="E59" s="5" t="s">
        <v>107</v>
      </c>
      <c r="F59" s="6">
        <v>0</v>
      </c>
    </row>
    <row r="60" spans="1:6" x14ac:dyDescent="0.3">
      <c r="A60" s="3">
        <v>44270</v>
      </c>
      <c r="B60" s="4" t="s">
        <v>88</v>
      </c>
      <c r="C60" s="5">
        <v>11</v>
      </c>
      <c r="D60" s="5" t="s">
        <v>106</v>
      </c>
      <c r="E60" s="5" t="s">
        <v>107</v>
      </c>
      <c r="F60" s="6">
        <v>0</v>
      </c>
    </row>
    <row r="61" spans="1:6" x14ac:dyDescent="0.3">
      <c r="A61" s="3">
        <v>44271</v>
      </c>
      <c r="B61" s="4" t="s">
        <v>31</v>
      </c>
      <c r="C61" s="5">
        <v>14</v>
      </c>
      <c r="D61" s="5" t="s">
        <v>108</v>
      </c>
      <c r="E61" s="5" t="s">
        <v>107</v>
      </c>
      <c r="F61" s="6">
        <v>0</v>
      </c>
    </row>
    <row r="62" spans="1:6" x14ac:dyDescent="0.3">
      <c r="A62" s="3">
        <v>44273</v>
      </c>
      <c r="B62" s="4" t="s">
        <v>94</v>
      </c>
      <c r="C62" s="5">
        <v>8</v>
      </c>
      <c r="D62" s="5" t="s">
        <v>105</v>
      </c>
      <c r="E62" s="5" t="s">
        <v>107</v>
      </c>
      <c r="F62" s="6">
        <v>0</v>
      </c>
    </row>
    <row r="63" spans="1:6" x14ac:dyDescent="0.3">
      <c r="A63" s="3">
        <v>44274</v>
      </c>
      <c r="B63" s="4" t="s">
        <v>65</v>
      </c>
      <c r="C63" s="5">
        <v>9</v>
      </c>
      <c r="D63" s="5" t="s">
        <v>106</v>
      </c>
      <c r="E63" s="5" t="s">
        <v>107</v>
      </c>
      <c r="F63" s="6">
        <v>0</v>
      </c>
    </row>
    <row r="64" spans="1:6" x14ac:dyDescent="0.3">
      <c r="A64" s="3">
        <v>44276</v>
      </c>
      <c r="B64" s="4" t="s">
        <v>47</v>
      </c>
      <c r="C64" s="5">
        <v>13</v>
      </c>
      <c r="D64" s="5" t="s">
        <v>106</v>
      </c>
      <c r="E64" s="5" t="s">
        <v>106</v>
      </c>
      <c r="F64" s="6">
        <v>0</v>
      </c>
    </row>
    <row r="65" spans="1:6" x14ac:dyDescent="0.3">
      <c r="A65" s="3">
        <v>44276</v>
      </c>
      <c r="B65" s="4" t="s">
        <v>88</v>
      </c>
      <c r="C65" s="5">
        <v>7</v>
      </c>
      <c r="D65" s="5" t="s">
        <v>108</v>
      </c>
      <c r="E65" s="5" t="s">
        <v>106</v>
      </c>
      <c r="F65" s="6">
        <v>0</v>
      </c>
    </row>
    <row r="66" spans="1:6" x14ac:dyDescent="0.3">
      <c r="A66" s="3">
        <v>44277</v>
      </c>
      <c r="B66" s="4" t="s">
        <v>10</v>
      </c>
      <c r="C66" s="5">
        <v>8</v>
      </c>
      <c r="D66" s="5" t="s">
        <v>106</v>
      </c>
      <c r="E66" s="5" t="s">
        <v>106</v>
      </c>
      <c r="F66" s="6">
        <v>0</v>
      </c>
    </row>
    <row r="67" spans="1:6" x14ac:dyDescent="0.3">
      <c r="A67" s="3">
        <v>44277</v>
      </c>
      <c r="B67" s="4" t="s">
        <v>31</v>
      </c>
      <c r="C67" s="5">
        <v>4</v>
      </c>
      <c r="D67" s="5" t="s">
        <v>106</v>
      </c>
      <c r="E67" s="5" t="s">
        <v>106</v>
      </c>
      <c r="F67" s="6">
        <v>0</v>
      </c>
    </row>
    <row r="68" spans="1:6" x14ac:dyDescent="0.3">
      <c r="A68" s="3">
        <v>44280</v>
      </c>
      <c r="B68" s="4" t="s">
        <v>56</v>
      </c>
      <c r="C68" s="5">
        <v>14</v>
      </c>
      <c r="D68" s="5" t="s">
        <v>106</v>
      </c>
      <c r="E68" s="5" t="s">
        <v>107</v>
      </c>
      <c r="F68" s="6">
        <v>0</v>
      </c>
    </row>
    <row r="69" spans="1:6" x14ac:dyDescent="0.3">
      <c r="A69" s="3">
        <v>44280</v>
      </c>
      <c r="B69" s="4" t="s">
        <v>18</v>
      </c>
      <c r="C69" s="5">
        <v>4</v>
      </c>
      <c r="D69" s="5" t="s">
        <v>108</v>
      </c>
      <c r="E69" s="5" t="s">
        <v>107</v>
      </c>
      <c r="F69" s="6">
        <v>0</v>
      </c>
    </row>
    <row r="70" spans="1:6" x14ac:dyDescent="0.3">
      <c r="A70" s="3">
        <v>44280</v>
      </c>
      <c r="B70" s="4" t="s">
        <v>67</v>
      </c>
      <c r="C70" s="5">
        <v>8</v>
      </c>
      <c r="D70" s="5" t="s">
        <v>108</v>
      </c>
      <c r="E70" s="5" t="s">
        <v>107</v>
      </c>
      <c r="F70" s="6">
        <v>0</v>
      </c>
    </row>
    <row r="71" spans="1:6" x14ac:dyDescent="0.3">
      <c r="A71" s="3">
        <v>44280</v>
      </c>
      <c r="B71" s="4" t="s">
        <v>86</v>
      </c>
      <c r="C71" s="5">
        <v>2</v>
      </c>
      <c r="D71" s="5" t="s">
        <v>108</v>
      </c>
      <c r="E71" s="5" t="s">
        <v>106</v>
      </c>
      <c r="F71" s="6">
        <v>0</v>
      </c>
    </row>
    <row r="72" spans="1:6" x14ac:dyDescent="0.3">
      <c r="A72" s="3">
        <v>44281</v>
      </c>
      <c r="B72" s="4" t="s">
        <v>6</v>
      </c>
      <c r="C72" s="5">
        <v>4</v>
      </c>
      <c r="D72" s="5" t="s">
        <v>108</v>
      </c>
      <c r="E72" s="5" t="s">
        <v>107</v>
      </c>
      <c r="F72" s="6">
        <v>0</v>
      </c>
    </row>
    <row r="73" spans="1:6" x14ac:dyDescent="0.3">
      <c r="A73" s="3">
        <v>44281</v>
      </c>
      <c r="B73" s="4" t="s">
        <v>94</v>
      </c>
      <c r="C73" s="5">
        <v>1</v>
      </c>
      <c r="D73" s="5" t="s">
        <v>108</v>
      </c>
      <c r="E73" s="5" t="s">
        <v>107</v>
      </c>
      <c r="F73" s="6">
        <v>0</v>
      </c>
    </row>
    <row r="74" spans="1:6" x14ac:dyDescent="0.3">
      <c r="A74" s="3">
        <v>44281</v>
      </c>
      <c r="B74" s="4" t="s">
        <v>26</v>
      </c>
      <c r="C74" s="5">
        <v>9</v>
      </c>
      <c r="D74" s="5" t="s">
        <v>108</v>
      </c>
      <c r="E74" s="5" t="s">
        <v>106</v>
      </c>
      <c r="F74" s="6">
        <v>0</v>
      </c>
    </row>
    <row r="75" spans="1:6" x14ac:dyDescent="0.3">
      <c r="A75" s="3">
        <v>44282</v>
      </c>
      <c r="B75" s="4" t="s">
        <v>69</v>
      </c>
      <c r="C75" s="5">
        <v>3</v>
      </c>
      <c r="D75" s="5" t="s">
        <v>108</v>
      </c>
      <c r="E75" s="5" t="s">
        <v>106</v>
      </c>
      <c r="F75" s="6">
        <v>0</v>
      </c>
    </row>
    <row r="76" spans="1:6" x14ac:dyDescent="0.3">
      <c r="A76" s="3">
        <v>44283</v>
      </c>
      <c r="B76" s="4" t="s">
        <v>20</v>
      </c>
      <c r="C76" s="5">
        <v>8</v>
      </c>
      <c r="D76" s="5" t="s">
        <v>106</v>
      </c>
      <c r="E76" s="5" t="s">
        <v>107</v>
      </c>
      <c r="F76" s="6">
        <v>0</v>
      </c>
    </row>
    <row r="77" spans="1:6" x14ac:dyDescent="0.3">
      <c r="A77" s="3">
        <v>44285</v>
      </c>
      <c r="B77" s="4" t="s">
        <v>86</v>
      </c>
      <c r="C77" s="5">
        <v>1</v>
      </c>
      <c r="D77" s="5" t="s">
        <v>106</v>
      </c>
      <c r="E77" s="5" t="s">
        <v>107</v>
      </c>
      <c r="F77" s="6">
        <v>0</v>
      </c>
    </row>
    <row r="78" spans="1:6" x14ac:dyDescent="0.3">
      <c r="A78" s="3">
        <v>44286</v>
      </c>
      <c r="B78" s="4" t="s">
        <v>94</v>
      </c>
      <c r="C78" s="5">
        <v>3</v>
      </c>
      <c r="D78" s="5" t="s">
        <v>108</v>
      </c>
      <c r="E78" s="5" t="s">
        <v>107</v>
      </c>
      <c r="F78" s="6">
        <v>0</v>
      </c>
    </row>
    <row r="79" spans="1:6" x14ac:dyDescent="0.3">
      <c r="A79" s="3">
        <v>44290</v>
      </c>
      <c r="B79" s="4" t="s">
        <v>90</v>
      </c>
      <c r="C79" s="5">
        <v>4</v>
      </c>
      <c r="D79" s="5" t="s">
        <v>108</v>
      </c>
      <c r="E79" s="5" t="s">
        <v>107</v>
      </c>
      <c r="F79" s="6">
        <v>0</v>
      </c>
    </row>
    <row r="80" spans="1:6" x14ac:dyDescent="0.3">
      <c r="A80" s="3">
        <v>44290</v>
      </c>
      <c r="B80" s="4" t="s">
        <v>24</v>
      </c>
      <c r="C80" s="5">
        <v>9</v>
      </c>
      <c r="D80" s="5" t="s">
        <v>106</v>
      </c>
      <c r="E80" s="5" t="s">
        <v>107</v>
      </c>
      <c r="F80" s="6">
        <v>0</v>
      </c>
    </row>
    <row r="81" spans="1:6" x14ac:dyDescent="0.3">
      <c r="A81" s="3">
        <v>44291</v>
      </c>
      <c r="B81" s="4" t="s">
        <v>71</v>
      </c>
      <c r="C81" s="5">
        <v>15</v>
      </c>
      <c r="D81" s="5" t="s">
        <v>106</v>
      </c>
      <c r="E81" s="5" t="s">
        <v>106</v>
      </c>
      <c r="F81" s="6">
        <v>0</v>
      </c>
    </row>
    <row r="82" spans="1:6" x14ac:dyDescent="0.3">
      <c r="A82" s="3">
        <v>44295</v>
      </c>
      <c r="B82" s="4" t="s">
        <v>16</v>
      </c>
      <c r="C82" s="5">
        <v>3</v>
      </c>
      <c r="D82" s="5" t="s">
        <v>106</v>
      </c>
      <c r="E82" s="5" t="s">
        <v>106</v>
      </c>
      <c r="F82" s="6">
        <v>0</v>
      </c>
    </row>
    <row r="83" spans="1:6" x14ac:dyDescent="0.3">
      <c r="A83" s="3">
        <v>44296</v>
      </c>
      <c r="B83" s="4" t="s">
        <v>52</v>
      </c>
      <c r="C83" s="5">
        <v>14</v>
      </c>
      <c r="D83" s="5" t="s">
        <v>108</v>
      </c>
      <c r="E83" s="5" t="s">
        <v>106</v>
      </c>
      <c r="F83" s="6">
        <v>0</v>
      </c>
    </row>
    <row r="84" spans="1:6" x14ac:dyDescent="0.3">
      <c r="A84" s="3">
        <v>44298</v>
      </c>
      <c r="B84" s="4" t="s">
        <v>83</v>
      </c>
      <c r="C84" s="5">
        <v>3</v>
      </c>
      <c r="D84" s="5" t="s">
        <v>108</v>
      </c>
      <c r="E84" s="5" t="s">
        <v>107</v>
      </c>
      <c r="F84" s="6">
        <v>0</v>
      </c>
    </row>
    <row r="85" spans="1:6" x14ac:dyDescent="0.3">
      <c r="A85" s="3">
        <v>44298</v>
      </c>
      <c r="B85" s="4" t="s">
        <v>67</v>
      </c>
      <c r="C85" s="5">
        <v>4</v>
      </c>
      <c r="D85" s="5" t="s">
        <v>108</v>
      </c>
      <c r="E85" s="5" t="s">
        <v>106</v>
      </c>
      <c r="F85" s="6">
        <v>0</v>
      </c>
    </row>
    <row r="86" spans="1:6" x14ac:dyDescent="0.3">
      <c r="A86" s="3">
        <v>44298</v>
      </c>
      <c r="B86" s="4" t="s">
        <v>63</v>
      </c>
      <c r="C86" s="5">
        <v>9</v>
      </c>
      <c r="D86" s="5" t="s">
        <v>108</v>
      </c>
      <c r="E86" s="5" t="s">
        <v>106</v>
      </c>
      <c r="F86" s="6">
        <v>0</v>
      </c>
    </row>
    <row r="87" spans="1:6" x14ac:dyDescent="0.3">
      <c r="A87" s="3">
        <v>44298</v>
      </c>
      <c r="B87" s="4" t="s">
        <v>75</v>
      </c>
      <c r="C87" s="5">
        <v>13</v>
      </c>
      <c r="D87" s="5" t="s">
        <v>108</v>
      </c>
      <c r="E87" s="5" t="s">
        <v>107</v>
      </c>
      <c r="F87" s="6">
        <v>0</v>
      </c>
    </row>
    <row r="88" spans="1:6" x14ac:dyDescent="0.3">
      <c r="A88" s="3">
        <v>44301</v>
      </c>
      <c r="B88" s="4" t="s">
        <v>41</v>
      </c>
      <c r="C88" s="5">
        <v>3</v>
      </c>
      <c r="D88" s="5" t="s">
        <v>108</v>
      </c>
      <c r="E88" s="5" t="s">
        <v>106</v>
      </c>
      <c r="F88" s="6">
        <v>0</v>
      </c>
    </row>
    <row r="89" spans="1:6" x14ac:dyDescent="0.3">
      <c r="A89" s="3">
        <v>44302</v>
      </c>
      <c r="B89" s="4" t="s">
        <v>43</v>
      </c>
      <c r="C89" s="5">
        <v>15</v>
      </c>
      <c r="D89" s="5" t="s">
        <v>108</v>
      </c>
      <c r="E89" s="5" t="s">
        <v>107</v>
      </c>
      <c r="F89" s="6">
        <v>0</v>
      </c>
    </row>
    <row r="90" spans="1:6" x14ac:dyDescent="0.3">
      <c r="A90" s="3">
        <v>44304</v>
      </c>
      <c r="B90" s="4" t="s">
        <v>86</v>
      </c>
      <c r="C90" s="5">
        <v>9</v>
      </c>
      <c r="D90" s="5" t="s">
        <v>105</v>
      </c>
      <c r="E90" s="5" t="s">
        <v>106</v>
      </c>
      <c r="F90" s="6">
        <v>0</v>
      </c>
    </row>
    <row r="91" spans="1:6" x14ac:dyDescent="0.3">
      <c r="A91" s="3">
        <v>44304</v>
      </c>
      <c r="B91" s="4" t="s">
        <v>45</v>
      </c>
      <c r="C91" s="5">
        <v>13</v>
      </c>
      <c r="D91" s="5" t="s">
        <v>108</v>
      </c>
      <c r="E91" s="5" t="s">
        <v>107</v>
      </c>
      <c r="F91" s="6">
        <v>0</v>
      </c>
    </row>
    <row r="92" spans="1:6" x14ac:dyDescent="0.3">
      <c r="A92" s="3">
        <v>44309</v>
      </c>
      <c r="B92" s="4" t="s">
        <v>94</v>
      </c>
      <c r="C92" s="5">
        <v>6</v>
      </c>
      <c r="D92" s="5" t="s">
        <v>108</v>
      </c>
      <c r="E92" s="5" t="s">
        <v>106</v>
      </c>
      <c r="F92" s="6">
        <v>0</v>
      </c>
    </row>
    <row r="93" spans="1:6" x14ac:dyDescent="0.3">
      <c r="A93" s="3">
        <v>44309</v>
      </c>
      <c r="B93" s="4" t="s">
        <v>65</v>
      </c>
      <c r="C93" s="5">
        <v>10</v>
      </c>
      <c r="D93" s="5" t="s">
        <v>108</v>
      </c>
      <c r="E93" s="5" t="s">
        <v>106</v>
      </c>
      <c r="F93" s="6">
        <v>0</v>
      </c>
    </row>
    <row r="94" spans="1:6" x14ac:dyDescent="0.3">
      <c r="A94" s="3">
        <v>44310</v>
      </c>
      <c r="B94" s="4" t="s">
        <v>69</v>
      </c>
      <c r="C94" s="5">
        <v>2</v>
      </c>
      <c r="D94" s="5" t="s">
        <v>106</v>
      </c>
      <c r="E94" s="5" t="s">
        <v>106</v>
      </c>
      <c r="F94" s="6">
        <v>0</v>
      </c>
    </row>
    <row r="95" spans="1:6" x14ac:dyDescent="0.3">
      <c r="A95" s="3">
        <v>44312</v>
      </c>
      <c r="B95" s="4" t="s">
        <v>83</v>
      </c>
      <c r="C95" s="5">
        <v>3</v>
      </c>
      <c r="D95" s="5" t="s">
        <v>108</v>
      </c>
      <c r="E95" s="5" t="s">
        <v>106</v>
      </c>
      <c r="F95" s="6">
        <v>0</v>
      </c>
    </row>
    <row r="96" spans="1:6" x14ac:dyDescent="0.3">
      <c r="A96" s="3">
        <v>44315</v>
      </c>
      <c r="B96" s="4" t="s">
        <v>69</v>
      </c>
      <c r="C96" s="5">
        <v>7</v>
      </c>
      <c r="D96" s="5" t="s">
        <v>108</v>
      </c>
      <c r="E96" s="5" t="s">
        <v>106</v>
      </c>
      <c r="F96" s="6">
        <v>0</v>
      </c>
    </row>
    <row r="97" spans="1:6" x14ac:dyDescent="0.3">
      <c r="A97" s="3">
        <v>44316</v>
      </c>
      <c r="B97" s="4" t="s">
        <v>67</v>
      </c>
      <c r="C97" s="5">
        <v>1</v>
      </c>
      <c r="D97" s="5" t="s">
        <v>108</v>
      </c>
      <c r="E97" s="5" t="s">
        <v>106</v>
      </c>
      <c r="F97" s="6">
        <v>0</v>
      </c>
    </row>
    <row r="98" spans="1:6" x14ac:dyDescent="0.3">
      <c r="A98" s="3">
        <v>44317</v>
      </c>
      <c r="B98" s="4" t="s">
        <v>43</v>
      </c>
      <c r="C98" s="5">
        <v>3</v>
      </c>
      <c r="D98" s="5" t="s">
        <v>106</v>
      </c>
      <c r="E98" s="5" t="s">
        <v>107</v>
      </c>
      <c r="F98" s="6">
        <v>0</v>
      </c>
    </row>
    <row r="99" spans="1:6" x14ac:dyDescent="0.3">
      <c r="A99" s="3">
        <v>44317</v>
      </c>
      <c r="B99" s="4" t="s">
        <v>94</v>
      </c>
      <c r="C99" s="5">
        <v>1</v>
      </c>
      <c r="D99" s="5" t="s">
        <v>106</v>
      </c>
      <c r="E99" s="5" t="s">
        <v>107</v>
      </c>
      <c r="F99" s="6">
        <v>0</v>
      </c>
    </row>
    <row r="100" spans="1:6" x14ac:dyDescent="0.3">
      <c r="A100" s="3">
        <v>44319</v>
      </c>
      <c r="B100" s="4" t="s">
        <v>77</v>
      </c>
      <c r="C100" s="5">
        <v>3</v>
      </c>
      <c r="D100" s="5" t="s">
        <v>106</v>
      </c>
      <c r="E100" s="5" t="s">
        <v>106</v>
      </c>
      <c r="F100" s="6">
        <v>0</v>
      </c>
    </row>
    <row r="101" spans="1:6" x14ac:dyDescent="0.3">
      <c r="A101" s="3">
        <v>44320</v>
      </c>
      <c r="B101" s="4" t="s">
        <v>37</v>
      </c>
      <c r="C101" s="5">
        <v>13</v>
      </c>
      <c r="D101" s="5" t="s">
        <v>106</v>
      </c>
      <c r="E101" s="5" t="s">
        <v>106</v>
      </c>
      <c r="F101" s="6">
        <v>0</v>
      </c>
    </row>
    <row r="102" spans="1:6" x14ac:dyDescent="0.3">
      <c r="A102" s="3">
        <v>44320</v>
      </c>
      <c r="B102" s="4" t="s">
        <v>35</v>
      </c>
      <c r="C102" s="5">
        <v>4</v>
      </c>
      <c r="D102" s="5" t="s">
        <v>108</v>
      </c>
      <c r="E102" s="5" t="s">
        <v>107</v>
      </c>
      <c r="F102" s="6">
        <v>0</v>
      </c>
    </row>
    <row r="103" spans="1:6" x14ac:dyDescent="0.3">
      <c r="A103" s="3">
        <v>44321</v>
      </c>
      <c r="B103" s="4" t="s">
        <v>24</v>
      </c>
      <c r="C103" s="5">
        <v>13</v>
      </c>
      <c r="D103" s="5" t="s">
        <v>108</v>
      </c>
      <c r="E103" s="5" t="s">
        <v>107</v>
      </c>
      <c r="F103" s="6">
        <v>0</v>
      </c>
    </row>
    <row r="104" spans="1:6" x14ac:dyDescent="0.3">
      <c r="A104" s="3">
        <v>44322</v>
      </c>
      <c r="B104" s="4" t="s">
        <v>22</v>
      </c>
      <c r="C104" s="5">
        <v>15</v>
      </c>
      <c r="D104" s="5" t="s">
        <v>108</v>
      </c>
      <c r="E104" s="5" t="s">
        <v>106</v>
      </c>
      <c r="F104" s="6">
        <v>0</v>
      </c>
    </row>
    <row r="105" spans="1:6" x14ac:dyDescent="0.3">
      <c r="A105" s="3">
        <v>44322</v>
      </c>
      <c r="B105" s="4" t="s">
        <v>24</v>
      </c>
      <c r="C105" s="5">
        <v>6</v>
      </c>
      <c r="D105" s="5" t="s">
        <v>106</v>
      </c>
      <c r="E105" s="5" t="s">
        <v>106</v>
      </c>
      <c r="F105" s="6">
        <v>0</v>
      </c>
    </row>
    <row r="106" spans="1:6" x14ac:dyDescent="0.3">
      <c r="A106" s="3">
        <v>44323</v>
      </c>
      <c r="B106" s="4" t="s">
        <v>43</v>
      </c>
      <c r="C106" s="5">
        <v>1</v>
      </c>
      <c r="D106" s="5" t="s">
        <v>108</v>
      </c>
      <c r="E106" s="5" t="s">
        <v>107</v>
      </c>
      <c r="F106" s="6">
        <v>0</v>
      </c>
    </row>
    <row r="107" spans="1:6" x14ac:dyDescent="0.3">
      <c r="A107" s="3">
        <v>44325</v>
      </c>
      <c r="B107" s="4" t="s">
        <v>39</v>
      </c>
      <c r="C107" s="5">
        <v>6</v>
      </c>
      <c r="D107" s="5" t="s">
        <v>106</v>
      </c>
      <c r="E107" s="5" t="s">
        <v>106</v>
      </c>
      <c r="F107" s="6">
        <v>0</v>
      </c>
    </row>
    <row r="108" spans="1:6" x14ac:dyDescent="0.3">
      <c r="A108" s="3">
        <v>44325</v>
      </c>
      <c r="B108" s="4" t="s">
        <v>65</v>
      </c>
      <c r="C108" s="5">
        <v>8</v>
      </c>
      <c r="D108" s="5" t="s">
        <v>108</v>
      </c>
      <c r="E108" s="5" t="s">
        <v>107</v>
      </c>
      <c r="F108" s="6">
        <v>0</v>
      </c>
    </row>
    <row r="109" spans="1:6" x14ac:dyDescent="0.3">
      <c r="A109" s="3">
        <v>44328</v>
      </c>
      <c r="B109" s="4" t="s">
        <v>39</v>
      </c>
      <c r="C109" s="5">
        <v>3</v>
      </c>
      <c r="D109" s="5" t="s">
        <v>108</v>
      </c>
      <c r="E109" s="5" t="s">
        <v>106</v>
      </c>
      <c r="F109" s="6">
        <v>0</v>
      </c>
    </row>
    <row r="110" spans="1:6" x14ac:dyDescent="0.3">
      <c r="A110" s="3">
        <v>44328</v>
      </c>
      <c r="B110" s="4" t="s">
        <v>79</v>
      </c>
      <c r="C110" s="5">
        <v>15</v>
      </c>
      <c r="D110" s="5" t="s">
        <v>108</v>
      </c>
      <c r="E110" s="5" t="s">
        <v>106</v>
      </c>
      <c r="F110" s="6">
        <v>0</v>
      </c>
    </row>
    <row r="111" spans="1:6" x14ac:dyDescent="0.3">
      <c r="A111" s="3">
        <v>44329</v>
      </c>
      <c r="B111" s="4" t="s">
        <v>67</v>
      </c>
      <c r="C111" s="5">
        <v>4</v>
      </c>
      <c r="D111" s="5" t="s">
        <v>108</v>
      </c>
      <c r="E111" s="5" t="s">
        <v>106</v>
      </c>
      <c r="F111" s="6">
        <v>0</v>
      </c>
    </row>
    <row r="112" spans="1:6" x14ac:dyDescent="0.3">
      <c r="A112" s="3">
        <v>44336</v>
      </c>
      <c r="B112" s="4" t="s">
        <v>94</v>
      </c>
      <c r="C112" s="5">
        <v>2</v>
      </c>
      <c r="D112" s="5" t="s">
        <v>106</v>
      </c>
      <c r="E112" s="5" t="s">
        <v>107</v>
      </c>
      <c r="F112" s="6">
        <v>0</v>
      </c>
    </row>
    <row r="113" spans="1:6" x14ac:dyDescent="0.3">
      <c r="A113" s="3">
        <v>44339</v>
      </c>
      <c r="B113" s="4" t="s">
        <v>90</v>
      </c>
      <c r="C113" s="5">
        <v>11</v>
      </c>
      <c r="D113" s="5" t="s">
        <v>108</v>
      </c>
      <c r="E113" s="5" t="s">
        <v>106</v>
      </c>
      <c r="F113" s="6">
        <v>0</v>
      </c>
    </row>
    <row r="114" spans="1:6" x14ac:dyDescent="0.3">
      <c r="A114" s="3">
        <v>44346</v>
      </c>
      <c r="B114" s="4" t="s">
        <v>54</v>
      </c>
      <c r="C114" s="5">
        <v>13</v>
      </c>
      <c r="D114" s="5" t="s">
        <v>106</v>
      </c>
      <c r="E114" s="5" t="s">
        <v>106</v>
      </c>
      <c r="F114" s="6">
        <v>0</v>
      </c>
    </row>
    <row r="115" spans="1:6" x14ac:dyDescent="0.3">
      <c r="A115" s="3">
        <v>44346</v>
      </c>
      <c r="B115" s="4" t="s">
        <v>33</v>
      </c>
      <c r="C115" s="5">
        <v>6</v>
      </c>
      <c r="D115" s="5" t="s">
        <v>106</v>
      </c>
      <c r="E115" s="5" t="s">
        <v>107</v>
      </c>
      <c r="F115" s="6">
        <v>0</v>
      </c>
    </row>
    <row r="116" spans="1:6" x14ac:dyDescent="0.3">
      <c r="A116" s="3">
        <v>44350</v>
      </c>
      <c r="B116" s="4" t="s">
        <v>50</v>
      </c>
      <c r="C116" s="5">
        <v>10</v>
      </c>
      <c r="D116" s="5" t="s">
        <v>108</v>
      </c>
      <c r="E116" s="5" t="s">
        <v>107</v>
      </c>
      <c r="F116" s="6">
        <v>0</v>
      </c>
    </row>
    <row r="117" spans="1:6" x14ac:dyDescent="0.3">
      <c r="A117" s="3">
        <v>44351</v>
      </c>
      <c r="B117" s="4" t="s">
        <v>47</v>
      </c>
      <c r="C117" s="5">
        <v>8</v>
      </c>
      <c r="D117" s="5" t="s">
        <v>105</v>
      </c>
      <c r="E117" s="5" t="s">
        <v>106</v>
      </c>
      <c r="F117" s="6">
        <v>0</v>
      </c>
    </row>
    <row r="118" spans="1:6" x14ac:dyDescent="0.3">
      <c r="A118" s="3">
        <v>44351</v>
      </c>
      <c r="B118" s="4" t="s">
        <v>47</v>
      </c>
      <c r="C118" s="5">
        <v>12</v>
      </c>
      <c r="D118" s="5" t="s">
        <v>106</v>
      </c>
      <c r="E118" s="5" t="s">
        <v>107</v>
      </c>
      <c r="F118" s="6">
        <v>0</v>
      </c>
    </row>
    <row r="119" spans="1:6" x14ac:dyDescent="0.3">
      <c r="A119" s="3">
        <v>44352</v>
      </c>
      <c r="B119" s="4" t="s">
        <v>52</v>
      </c>
      <c r="C119" s="5">
        <v>15</v>
      </c>
      <c r="D119" s="5" t="s">
        <v>105</v>
      </c>
      <c r="E119" s="5" t="s">
        <v>106</v>
      </c>
      <c r="F119" s="6">
        <v>0</v>
      </c>
    </row>
    <row r="120" spans="1:6" x14ac:dyDescent="0.3">
      <c r="A120" s="3">
        <v>44352</v>
      </c>
      <c r="B120" s="4" t="s">
        <v>79</v>
      </c>
      <c r="C120" s="5">
        <v>10</v>
      </c>
      <c r="D120" s="5" t="s">
        <v>108</v>
      </c>
      <c r="E120" s="5" t="s">
        <v>106</v>
      </c>
      <c r="F120" s="6">
        <v>0</v>
      </c>
    </row>
    <row r="121" spans="1:6" x14ac:dyDescent="0.3">
      <c r="A121" s="3">
        <v>44353</v>
      </c>
      <c r="B121" s="4" t="s">
        <v>75</v>
      </c>
      <c r="C121" s="5">
        <v>6</v>
      </c>
      <c r="D121" s="5" t="s">
        <v>108</v>
      </c>
      <c r="E121" s="5" t="s">
        <v>106</v>
      </c>
      <c r="F121" s="6">
        <v>0</v>
      </c>
    </row>
    <row r="122" spans="1:6" x14ac:dyDescent="0.3">
      <c r="A122" s="3">
        <v>44355</v>
      </c>
      <c r="B122" s="4" t="s">
        <v>65</v>
      </c>
      <c r="C122" s="5">
        <v>11</v>
      </c>
      <c r="D122" s="5" t="s">
        <v>108</v>
      </c>
      <c r="E122" s="5" t="s">
        <v>106</v>
      </c>
      <c r="F122" s="6">
        <v>0</v>
      </c>
    </row>
    <row r="123" spans="1:6" x14ac:dyDescent="0.3">
      <c r="A123" s="3">
        <v>44355</v>
      </c>
      <c r="B123" s="4" t="s">
        <v>14</v>
      </c>
      <c r="C123" s="5">
        <v>11</v>
      </c>
      <c r="D123" s="5" t="s">
        <v>105</v>
      </c>
      <c r="E123" s="5" t="s">
        <v>107</v>
      </c>
      <c r="F123" s="6">
        <v>0</v>
      </c>
    </row>
    <row r="124" spans="1:6" x14ac:dyDescent="0.3">
      <c r="A124" s="3">
        <v>44356</v>
      </c>
      <c r="B124" s="4" t="s">
        <v>6</v>
      </c>
      <c r="C124" s="5">
        <v>7</v>
      </c>
      <c r="D124" s="5" t="s">
        <v>108</v>
      </c>
      <c r="E124" s="5" t="s">
        <v>106</v>
      </c>
      <c r="F124" s="6">
        <v>0</v>
      </c>
    </row>
    <row r="125" spans="1:6" x14ac:dyDescent="0.3">
      <c r="A125" s="3">
        <v>44358</v>
      </c>
      <c r="B125" s="4" t="s">
        <v>73</v>
      </c>
      <c r="C125" s="5">
        <v>12</v>
      </c>
      <c r="D125" s="5" t="s">
        <v>105</v>
      </c>
      <c r="E125" s="5" t="s">
        <v>107</v>
      </c>
      <c r="F125" s="6">
        <v>0</v>
      </c>
    </row>
    <row r="126" spans="1:6" x14ac:dyDescent="0.3">
      <c r="A126" s="3">
        <v>44359</v>
      </c>
      <c r="B126" s="4" t="s">
        <v>92</v>
      </c>
      <c r="C126" s="5">
        <v>6</v>
      </c>
      <c r="D126" s="5" t="s">
        <v>108</v>
      </c>
      <c r="E126" s="5" t="s">
        <v>106</v>
      </c>
      <c r="F126" s="6">
        <v>0</v>
      </c>
    </row>
    <row r="127" spans="1:6" x14ac:dyDescent="0.3">
      <c r="A127" s="3">
        <v>44361</v>
      </c>
      <c r="B127" s="4" t="s">
        <v>58</v>
      </c>
      <c r="C127" s="5">
        <v>10</v>
      </c>
      <c r="D127" s="5" t="s">
        <v>106</v>
      </c>
      <c r="E127" s="5" t="s">
        <v>107</v>
      </c>
      <c r="F127" s="6">
        <v>0</v>
      </c>
    </row>
    <row r="128" spans="1:6" x14ac:dyDescent="0.3">
      <c r="A128" s="3">
        <v>44363</v>
      </c>
      <c r="B128" s="4" t="s">
        <v>45</v>
      </c>
      <c r="C128" s="5">
        <v>5</v>
      </c>
      <c r="D128" s="5" t="s">
        <v>105</v>
      </c>
      <c r="E128" s="5" t="s">
        <v>107</v>
      </c>
      <c r="F128" s="6">
        <v>0</v>
      </c>
    </row>
    <row r="129" spans="1:6" x14ac:dyDescent="0.3">
      <c r="A129" s="3">
        <v>44363</v>
      </c>
      <c r="B129" s="4" t="s">
        <v>37</v>
      </c>
      <c r="C129" s="5">
        <v>12</v>
      </c>
      <c r="D129" s="5" t="s">
        <v>106</v>
      </c>
      <c r="E129" s="5" t="s">
        <v>107</v>
      </c>
      <c r="F129" s="6">
        <v>0</v>
      </c>
    </row>
    <row r="130" spans="1:6" x14ac:dyDescent="0.3">
      <c r="A130" s="3">
        <v>44363</v>
      </c>
      <c r="B130" s="4" t="s">
        <v>88</v>
      </c>
      <c r="C130" s="5">
        <v>11</v>
      </c>
      <c r="D130" s="5" t="s">
        <v>108</v>
      </c>
      <c r="E130" s="5" t="s">
        <v>107</v>
      </c>
      <c r="F130" s="6">
        <v>0</v>
      </c>
    </row>
    <row r="131" spans="1:6" x14ac:dyDescent="0.3">
      <c r="A131" s="3">
        <v>44365</v>
      </c>
      <c r="B131" s="4" t="s">
        <v>58</v>
      </c>
      <c r="C131" s="5">
        <v>13</v>
      </c>
      <c r="D131" s="5" t="s">
        <v>108</v>
      </c>
      <c r="E131" s="5" t="s">
        <v>107</v>
      </c>
      <c r="F131" s="6">
        <v>0</v>
      </c>
    </row>
    <row r="132" spans="1:6" x14ac:dyDescent="0.3">
      <c r="A132" s="3">
        <v>44366</v>
      </c>
      <c r="B132" s="4" t="s">
        <v>92</v>
      </c>
      <c r="C132" s="5">
        <v>5</v>
      </c>
      <c r="D132" s="5" t="s">
        <v>108</v>
      </c>
      <c r="E132" s="5" t="s">
        <v>106</v>
      </c>
      <c r="F132" s="6">
        <v>0</v>
      </c>
    </row>
    <row r="133" spans="1:6" x14ac:dyDescent="0.3">
      <c r="A133" s="3">
        <v>44367</v>
      </c>
      <c r="B133" s="4" t="s">
        <v>39</v>
      </c>
      <c r="C133" s="5">
        <v>1</v>
      </c>
      <c r="D133" s="5" t="s">
        <v>105</v>
      </c>
      <c r="E133" s="5" t="s">
        <v>107</v>
      </c>
      <c r="F133" s="6">
        <v>0</v>
      </c>
    </row>
    <row r="134" spans="1:6" x14ac:dyDescent="0.3">
      <c r="A134" s="3">
        <v>44370</v>
      </c>
      <c r="B134" s="4" t="s">
        <v>39</v>
      </c>
      <c r="C134" s="5">
        <v>4</v>
      </c>
      <c r="D134" s="5" t="s">
        <v>108</v>
      </c>
      <c r="E134" s="5" t="s">
        <v>106</v>
      </c>
      <c r="F134" s="6">
        <v>0</v>
      </c>
    </row>
    <row r="135" spans="1:6" x14ac:dyDescent="0.3">
      <c r="A135" s="3">
        <v>44371</v>
      </c>
      <c r="B135" s="4" t="s">
        <v>29</v>
      </c>
      <c r="C135" s="5">
        <v>13</v>
      </c>
      <c r="D135" s="5" t="s">
        <v>108</v>
      </c>
      <c r="E135" s="5" t="s">
        <v>106</v>
      </c>
      <c r="F135" s="6">
        <v>0</v>
      </c>
    </row>
    <row r="136" spans="1:6" x14ac:dyDescent="0.3">
      <c r="A136" s="3">
        <v>44373</v>
      </c>
      <c r="B136" s="4" t="s">
        <v>24</v>
      </c>
      <c r="C136" s="5">
        <v>7</v>
      </c>
      <c r="D136" s="5" t="s">
        <v>106</v>
      </c>
      <c r="E136" s="5" t="s">
        <v>106</v>
      </c>
      <c r="F136" s="6">
        <v>0</v>
      </c>
    </row>
    <row r="137" spans="1:6" x14ac:dyDescent="0.3">
      <c r="A137" s="3">
        <v>44374</v>
      </c>
      <c r="B137" s="4" t="s">
        <v>16</v>
      </c>
      <c r="C137" s="5">
        <v>11</v>
      </c>
      <c r="D137" s="5" t="s">
        <v>108</v>
      </c>
      <c r="E137" s="5" t="s">
        <v>107</v>
      </c>
      <c r="F137" s="6">
        <v>0</v>
      </c>
    </row>
    <row r="138" spans="1:6" x14ac:dyDescent="0.3">
      <c r="A138" s="3">
        <v>44375</v>
      </c>
      <c r="B138" s="4" t="s">
        <v>50</v>
      </c>
      <c r="C138" s="5">
        <v>2</v>
      </c>
      <c r="D138" s="5" t="s">
        <v>106</v>
      </c>
      <c r="E138" s="5" t="s">
        <v>107</v>
      </c>
      <c r="F138" s="6">
        <v>0</v>
      </c>
    </row>
    <row r="139" spans="1:6" x14ac:dyDescent="0.3">
      <c r="A139" s="3">
        <v>44375</v>
      </c>
      <c r="B139" s="4" t="s">
        <v>79</v>
      </c>
      <c r="C139" s="5">
        <v>7</v>
      </c>
      <c r="D139" s="5" t="s">
        <v>106</v>
      </c>
      <c r="E139" s="5" t="s">
        <v>106</v>
      </c>
      <c r="F139" s="6">
        <v>0</v>
      </c>
    </row>
    <row r="140" spans="1:6" x14ac:dyDescent="0.3">
      <c r="A140" s="3">
        <v>44376</v>
      </c>
      <c r="B140" s="4" t="s">
        <v>35</v>
      </c>
      <c r="C140" s="5">
        <v>4</v>
      </c>
      <c r="D140" s="5" t="s">
        <v>108</v>
      </c>
      <c r="E140" s="5" t="s">
        <v>106</v>
      </c>
      <c r="F140" s="6">
        <v>0</v>
      </c>
    </row>
    <row r="141" spans="1:6" x14ac:dyDescent="0.3">
      <c r="A141" s="3">
        <v>44378</v>
      </c>
      <c r="B141" s="4" t="s">
        <v>16</v>
      </c>
      <c r="C141" s="5">
        <v>11</v>
      </c>
      <c r="D141" s="5" t="s">
        <v>108</v>
      </c>
      <c r="E141" s="5" t="s">
        <v>107</v>
      </c>
      <c r="F141" s="6">
        <v>0</v>
      </c>
    </row>
    <row r="142" spans="1:6" x14ac:dyDescent="0.3">
      <c r="A142" s="3">
        <v>44379</v>
      </c>
      <c r="B142" s="4" t="s">
        <v>26</v>
      </c>
      <c r="C142" s="5">
        <v>11</v>
      </c>
      <c r="D142" s="5" t="s">
        <v>108</v>
      </c>
      <c r="E142" s="5" t="s">
        <v>107</v>
      </c>
      <c r="F142" s="6">
        <v>0</v>
      </c>
    </row>
    <row r="143" spans="1:6" x14ac:dyDescent="0.3">
      <c r="A143" s="3">
        <v>44380</v>
      </c>
      <c r="B143" s="4" t="s">
        <v>75</v>
      </c>
      <c r="C143" s="5">
        <v>9</v>
      </c>
      <c r="D143" s="5" t="s">
        <v>106</v>
      </c>
      <c r="E143" s="5" t="s">
        <v>107</v>
      </c>
      <c r="F143" s="6">
        <v>0</v>
      </c>
    </row>
    <row r="144" spans="1:6" x14ac:dyDescent="0.3">
      <c r="A144" s="3">
        <v>44380</v>
      </c>
      <c r="B144" s="4" t="s">
        <v>12</v>
      </c>
      <c r="C144" s="5">
        <v>8</v>
      </c>
      <c r="D144" s="5" t="s">
        <v>106</v>
      </c>
      <c r="E144" s="5" t="s">
        <v>107</v>
      </c>
      <c r="F144" s="6">
        <v>0</v>
      </c>
    </row>
    <row r="145" spans="1:6" x14ac:dyDescent="0.3">
      <c r="A145" s="3">
        <v>44382</v>
      </c>
      <c r="B145" s="4" t="s">
        <v>10</v>
      </c>
      <c r="C145" s="5">
        <v>8</v>
      </c>
      <c r="D145" s="5" t="s">
        <v>108</v>
      </c>
      <c r="E145" s="5" t="s">
        <v>106</v>
      </c>
      <c r="F145" s="6">
        <v>0</v>
      </c>
    </row>
    <row r="146" spans="1:6" x14ac:dyDescent="0.3">
      <c r="A146" s="3">
        <v>44383</v>
      </c>
      <c r="B146" s="4" t="s">
        <v>92</v>
      </c>
      <c r="C146" s="5">
        <v>15</v>
      </c>
      <c r="D146" s="5" t="s">
        <v>108</v>
      </c>
      <c r="E146" s="5" t="s">
        <v>107</v>
      </c>
      <c r="F146" s="6">
        <v>0</v>
      </c>
    </row>
    <row r="147" spans="1:6" x14ac:dyDescent="0.3">
      <c r="A147" s="3">
        <v>44385</v>
      </c>
      <c r="B147" s="4" t="s">
        <v>14</v>
      </c>
      <c r="C147" s="5">
        <v>10</v>
      </c>
      <c r="D147" s="5" t="s">
        <v>108</v>
      </c>
      <c r="E147" s="5" t="s">
        <v>106</v>
      </c>
      <c r="F147" s="6">
        <v>0</v>
      </c>
    </row>
    <row r="148" spans="1:6" x14ac:dyDescent="0.3">
      <c r="A148" s="3">
        <v>44387</v>
      </c>
      <c r="B148" s="4" t="s">
        <v>77</v>
      </c>
      <c r="C148" s="5">
        <v>6</v>
      </c>
      <c r="D148" s="5" t="s">
        <v>105</v>
      </c>
      <c r="E148" s="5" t="s">
        <v>107</v>
      </c>
      <c r="F148" s="6">
        <v>0</v>
      </c>
    </row>
    <row r="149" spans="1:6" x14ac:dyDescent="0.3">
      <c r="A149" s="3">
        <v>44388</v>
      </c>
      <c r="B149" s="4" t="s">
        <v>24</v>
      </c>
      <c r="C149" s="5">
        <v>4</v>
      </c>
      <c r="D149" s="5" t="s">
        <v>105</v>
      </c>
      <c r="E149" s="5" t="s">
        <v>106</v>
      </c>
      <c r="F149" s="6">
        <v>0</v>
      </c>
    </row>
    <row r="150" spans="1:6" x14ac:dyDescent="0.3">
      <c r="A150" s="3">
        <v>44390</v>
      </c>
      <c r="B150" s="4" t="s">
        <v>45</v>
      </c>
      <c r="C150" s="5">
        <v>1</v>
      </c>
      <c r="D150" s="5" t="s">
        <v>108</v>
      </c>
      <c r="E150" s="5" t="s">
        <v>107</v>
      </c>
      <c r="F150" s="6">
        <v>0</v>
      </c>
    </row>
    <row r="151" spans="1:6" x14ac:dyDescent="0.3">
      <c r="A151" s="3">
        <v>44393</v>
      </c>
      <c r="B151" s="4" t="s">
        <v>54</v>
      </c>
      <c r="C151" s="5">
        <v>8</v>
      </c>
      <c r="D151" s="5" t="s">
        <v>105</v>
      </c>
      <c r="E151" s="5" t="s">
        <v>107</v>
      </c>
      <c r="F151" s="6">
        <v>0</v>
      </c>
    </row>
    <row r="152" spans="1:6" x14ac:dyDescent="0.3">
      <c r="A152" s="3">
        <v>44395</v>
      </c>
      <c r="B152" s="4" t="s">
        <v>63</v>
      </c>
      <c r="C152" s="5">
        <v>14</v>
      </c>
      <c r="D152" s="5" t="s">
        <v>106</v>
      </c>
      <c r="E152" s="5" t="s">
        <v>106</v>
      </c>
      <c r="F152" s="6">
        <v>0</v>
      </c>
    </row>
    <row r="153" spans="1:6" x14ac:dyDescent="0.3">
      <c r="A153" s="3">
        <v>44397</v>
      </c>
      <c r="B153" s="4" t="s">
        <v>86</v>
      </c>
      <c r="C153" s="5">
        <v>11</v>
      </c>
      <c r="D153" s="5" t="s">
        <v>106</v>
      </c>
      <c r="E153" s="5" t="s">
        <v>106</v>
      </c>
      <c r="F153" s="6">
        <v>0</v>
      </c>
    </row>
    <row r="154" spans="1:6" x14ac:dyDescent="0.3">
      <c r="A154" s="3">
        <v>44397</v>
      </c>
      <c r="B154" s="4" t="s">
        <v>96</v>
      </c>
      <c r="C154" s="5">
        <v>5</v>
      </c>
      <c r="D154" s="5" t="s">
        <v>108</v>
      </c>
      <c r="E154" s="5" t="s">
        <v>106</v>
      </c>
      <c r="F154" s="6">
        <v>0</v>
      </c>
    </row>
    <row r="155" spans="1:6" x14ac:dyDescent="0.3">
      <c r="A155" s="3">
        <v>44398</v>
      </c>
      <c r="B155" s="4" t="s">
        <v>67</v>
      </c>
      <c r="C155" s="5">
        <v>15</v>
      </c>
      <c r="D155" s="5" t="s">
        <v>108</v>
      </c>
      <c r="E155" s="5" t="s">
        <v>106</v>
      </c>
      <c r="F155" s="6">
        <v>0</v>
      </c>
    </row>
    <row r="156" spans="1:6" x14ac:dyDescent="0.3">
      <c r="A156" s="3">
        <v>44399</v>
      </c>
      <c r="B156" s="4" t="s">
        <v>60</v>
      </c>
      <c r="C156" s="5">
        <v>3</v>
      </c>
      <c r="D156" s="5" t="s">
        <v>105</v>
      </c>
      <c r="E156" s="5" t="s">
        <v>107</v>
      </c>
      <c r="F156" s="6">
        <v>0</v>
      </c>
    </row>
    <row r="157" spans="1:6" x14ac:dyDescent="0.3">
      <c r="A157" s="3">
        <v>44399</v>
      </c>
      <c r="B157" s="4" t="s">
        <v>56</v>
      </c>
      <c r="C157" s="5">
        <v>14</v>
      </c>
      <c r="D157" s="5" t="s">
        <v>106</v>
      </c>
      <c r="E157" s="5" t="s">
        <v>107</v>
      </c>
      <c r="F157" s="6">
        <v>0</v>
      </c>
    </row>
    <row r="158" spans="1:6" x14ac:dyDescent="0.3">
      <c r="A158" s="3">
        <v>44400</v>
      </c>
      <c r="B158" s="4" t="s">
        <v>81</v>
      </c>
      <c r="C158" s="5">
        <v>7</v>
      </c>
      <c r="D158" s="5" t="s">
        <v>105</v>
      </c>
      <c r="E158" s="5" t="s">
        <v>106</v>
      </c>
      <c r="F158" s="6">
        <v>0</v>
      </c>
    </row>
    <row r="159" spans="1:6" x14ac:dyDescent="0.3">
      <c r="A159" s="3">
        <v>44400</v>
      </c>
      <c r="B159" s="4" t="s">
        <v>83</v>
      </c>
      <c r="C159" s="5">
        <v>8</v>
      </c>
      <c r="D159" s="5" t="s">
        <v>108</v>
      </c>
      <c r="E159" s="5" t="s">
        <v>106</v>
      </c>
      <c r="F159" s="6">
        <v>0</v>
      </c>
    </row>
    <row r="160" spans="1:6" x14ac:dyDescent="0.3">
      <c r="A160" s="3">
        <v>44401</v>
      </c>
      <c r="B160" s="4" t="s">
        <v>24</v>
      </c>
      <c r="C160" s="5">
        <v>4</v>
      </c>
      <c r="D160" s="5" t="s">
        <v>106</v>
      </c>
      <c r="E160" s="5" t="s">
        <v>107</v>
      </c>
      <c r="F160" s="6">
        <v>0</v>
      </c>
    </row>
    <row r="161" spans="1:6" x14ac:dyDescent="0.3">
      <c r="A161" s="3">
        <v>44406</v>
      </c>
      <c r="B161" s="4" t="s">
        <v>98</v>
      </c>
      <c r="C161" s="5">
        <v>15</v>
      </c>
      <c r="D161" s="5" t="s">
        <v>106</v>
      </c>
      <c r="E161" s="5" t="s">
        <v>107</v>
      </c>
      <c r="F161" s="6">
        <v>0</v>
      </c>
    </row>
    <row r="162" spans="1:6" x14ac:dyDescent="0.3">
      <c r="A162" s="3">
        <v>44409</v>
      </c>
      <c r="B162" s="4" t="s">
        <v>6</v>
      </c>
      <c r="C162" s="5">
        <v>11</v>
      </c>
      <c r="D162" s="5" t="s">
        <v>108</v>
      </c>
      <c r="E162" s="5" t="s">
        <v>107</v>
      </c>
      <c r="F162" s="6">
        <v>0</v>
      </c>
    </row>
    <row r="163" spans="1:6" x14ac:dyDescent="0.3">
      <c r="A163" s="3">
        <v>44410</v>
      </c>
      <c r="B163" s="4" t="s">
        <v>54</v>
      </c>
      <c r="C163" s="5">
        <v>3</v>
      </c>
      <c r="D163" s="5" t="s">
        <v>108</v>
      </c>
      <c r="E163" s="5" t="s">
        <v>106</v>
      </c>
      <c r="F163" s="6">
        <v>0</v>
      </c>
    </row>
    <row r="164" spans="1:6" x14ac:dyDescent="0.3">
      <c r="A164" s="3">
        <v>44411</v>
      </c>
      <c r="B164" s="4" t="s">
        <v>52</v>
      </c>
      <c r="C164" s="5">
        <v>13</v>
      </c>
      <c r="D164" s="5" t="s">
        <v>106</v>
      </c>
      <c r="E164" s="5" t="s">
        <v>106</v>
      </c>
      <c r="F164" s="6">
        <v>0</v>
      </c>
    </row>
    <row r="165" spans="1:6" x14ac:dyDescent="0.3">
      <c r="A165" s="3">
        <v>44411</v>
      </c>
      <c r="B165" s="4" t="s">
        <v>77</v>
      </c>
      <c r="C165" s="5">
        <v>12</v>
      </c>
      <c r="D165" s="5" t="s">
        <v>106</v>
      </c>
      <c r="E165" s="5" t="s">
        <v>106</v>
      </c>
      <c r="F165" s="6">
        <v>0</v>
      </c>
    </row>
    <row r="166" spans="1:6" x14ac:dyDescent="0.3">
      <c r="A166" s="3">
        <v>44413</v>
      </c>
      <c r="B166" s="4" t="s">
        <v>65</v>
      </c>
      <c r="C166" s="5">
        <v>14</v>
      </c>
      <c r="D166" s="5" t="s">
        <v>108</v>
      </c>
      <c r="E166" s="5" t="s">
        <v>107</v>
      </c>
      <c r="F166" s="6">
        <v>0</v>
      </c>
    </row>
    <row r="167" spans="1:6" x14ac:dyDescent="0.3">
      <c r="A167" s="3">
        <v>44414</v>
      </c>
      <c r="B167" s="4" t="s">
        <v>83</v>
      </c>
      <c r="C167" s="5">
        <v>1</v>
      </c>
      <c r="D167" s="5" t="s">
        <v>105</v>
      </c>
      <c r="E167" s="5" t="s">
        <v>107</v>
      </c>
      <c r="F167" s="6">
        <v>0</v>
      </c>
    </row>
    <row r="168" spans="1:6" x14ac:dyDescent="0.3">
      <c r="A168" s="3">
        <v>44418</v>
      </c>
      <c r="B168" s="4" t="s">
        <v>16</v>
      </c>
      <c r="C168" s="5">
        <v>4</v>
      </c>
      <c r="D168" s="5" t="s">
        <v>105</v>
      </c>
      <c r="E168" s="5" t="s">
        <v>107</v>
      </c>
      <c r="F168" s="6">
        <v>0</v>
      </c>
    </row>
    <row r="169" spans="1:6" x14ac:dyDescent="0.3">
      <c r="A169" s="3">
        <v>44418</v>
      </c>
      <c r="B169" s="4" t="s">
        <v>98</v>
      </c>
      <c r="C169" s="5">
        <v>10</v>
      </c>
      <c r="D169" s="5" t="s">
        <v>106</v>
      </c>
      <c r="E169" s="5" t="s">
        <v>107</v>
      </c>
      <c r="F169" s="6">
        <v>0</v>
      </c>
    </row>
    <row r="170" spans="1:6" x14ac:dyDescent="0.3">
      <c r="A170" s="3">
        <v>44418</v>
      </c>
      <c r="B170" s="4" t="s">
        <v>18</v>
      </c>
      <c r="C170" s="5">
        <v>6</v>
      </c>
      <c r="D170" s="5" t="s">
        <v>108</v>
      </c>
      <c r="E170" s="5" t="s">
        <v>107</v>
      </c>
      <c r="F170" s="6">
        <v>0</v>
      </c>
    </row>
    <row r="171" spans="1:6" x14ac:dyDescent="0.3">
      <c r="A171" s="3">
        <v>44419</v>
      </c>
      <c r="B171" s="4" t="s">
        <v>54</v>
      </c>
      <c r="C171" s="5">
        <v>4</v>
      </c>
      <c r="D171" s="5" t="s">
        <v>108</v>
      </c>
      <c r="E171" s="5" t="s">
        <v>106</v>
      </c>
      <c r="F171" s="6">
        <v>0</v>
      </c>
    </row>
    <row r="172" spans="1:6" x14ac:dyDescent="0.3">
      <c r="A172" s="3">
        <v>44421</v>
      </c>
      <c r="B172" s="4" t="s">
        <v>29</v>
      </c>
      <c r="C172" s="5">
        <v>13</v>
      </c>
      <c r="D172" s="5" t="s">
        <v>108</v>
      </c>
      <c r="E172" s="5" t="s">
        <v>106</v>
      </c>
      <c r="F172" s="6">
        <v>0</v>
      </c>
    </row>
    <row r="173" spans="1:6" x14ac:dyDescent="0.3">
      <c r="A173" s="3">
        <v>44421</v>
      </c>
      <c r="B173" s="4" t="s">
        <v>63</v>
      </c>
      <c r="C173" s="5">
        <v>9</v>
      </c>
      <c r="D173" s="5" t="s">
        <v>108</v>
      </c>
      <c r="E173" s="5" t="s">
        <v>106</v>
      </c>
      <c r="F173" s="6">
        <v>0</v>
      </c>
    </row>
    <row r="174" spans="1:6" x14ac:dyDescent="0.3">
      <c r="A174" s="3">
        <v>44424</v>
      </c>
      <c r="B174" s="4" t="s">
        <v>12</v>
      </c>
      <c r="C174" s="5">
        <v>3</v>
      </c>
      <c r="D174" s="5" t="s">
        <v>106</v>
      </c>
      <c r="E174" s="5" t="s">
        <v>106</v>
      </c>
      <c r="F174" s="6">
        <v>0</v>
      </c>
    </row>
    <row r="175" spans="1:6" x14ac:dyDescent="0.3">
      <c r="A175" s="3">
        <v>44426</v>
      </c>
      <c r="B175" s="4" t="s">
        <v>58</v>
      </c>
      <c r="C175" s="5">
        <v>6</v>
      </c>
      <c r="D175" s="5" t="s">
        <v>108</v>
      </c>
      <c r="E175" s="5" t="s">
        <v>106</v>
      </c>
      <c r="F175" s="6">
        <v>0</v>
      </c>
    </row>
    <row r="176" spans="1:6" x14ac:dyDescent="0.3">
      <c r="A176" s="3">
        <v>44428</v>
      </c>
      <c r="B176" s="4" t="s">
        <v>47</v>
      </c>
      <c r="C176" s="5">
        <v>15</v>
      </c>
      <c r="D176" s="5" t="s">
        <v>108</v>
      </c>
      <c r="E176" s="5" t="s">
        <v>107</v>
      </c>
      <c r="F176" s="6">
        <v>0</v>
      </c>
    </row>
    <row r="177" spans="1:6" x14ac:dyDescent="0.3">
      <c r="A177" s="3">
        <v>44428</v>
      </c>
      <c r="B177" s="4" t="s">
        <v>71</v>
      </c>
      <c r="C177" s="5">
        <v>9</v>
      </c>
      <c r="D177" s="5" t="s">
        <v>108</v>
      </c>
      <c r="E177" s="5" t="s">
        <v>106</v>
      </c>
      <c r="F177" s="6">
        <v>0</v>
      </c>
    </row>
    <row r="178" spans="1:6" x14ac:dyDescent="0.3">
      <c r="A178" s="3">
        <v>44428</v>
      </c>
      <c r="B178" s="4" t="s">
        <v>65</v>
      </c>
      <c r="C178" s="5">
        <v>13</v>
      </c>
      <c r="D178" s="5" t="s">
        <v>108</v>
      </c>
      <c r="E178" s="5" t="s">
        <v>106</v>
      </c>
      <c r="F178" s="6">
        <v>0</v>
      </c>
    </row>
    <row r="179" spans="1:6" x14ac:dyDescent="0.3">
      <c r="A179" s="3">
        <v>44434</v>
      </c>
      <c r="B179" s="4" t="s">
        <v>88</v>
      </c>
      <c r="C179" s="5">
        <v>4</v>
      </c>
      <c r="D179" s="5" t="s">
        <v>108</v>
      </c>
      <c r="E179" s="5" t="s">
        <v>106</v>
      </c>
      <c r="F179" s="6">
        <v>0</v>
      </c>
    </row>
    <row r="180" spans="1:6" x14ac:dyDescent="0.3">
      <c r="A180" s="3">
        <v>44437</v>
      </c>
      <c r="B180" s="4" t="s">
        <v>77</v>
      </c>
      <c r="C180" s="5">
        <v>12</v>
      </c>
      <c r="D180" s="5" t="s">
        <v>105</v>
      </c>
      <c r="E180" s="5" t="s">
        <v>106</v>
      </c>
      <c r="F180" s="6">
        <v>0</v>
      </c>
    </row>
    <row r="181" spans="1:6" x14ac:dyDescent="0.3">
      <c r="A181" s="3">
        <v>44438</v>
      </c>
      <c r="B181" s="4" t="s">
        <v>33</v>
      </c>
      <c r="C181" s="5">
        <v>13</v>
      </c>
      <c r="D181" s="5" t="s">
        <v>108</v>
      </c>
      <c r="E181" s="5" t="s">
        <v>106</v>
      </c>
      <c r="F181" s="6">
        <v>0</v>
      </c>
    </row>
    <row r="182" spans="1:6" x14ac:dyDescent="0.3">
      <c r="A182" s="3">
        <v>44439</v>
      </c>
      <c r="B182" s="4" t="s">
        <v>6</v>
      </c>
      <c r="C182" s="5">
        <v>2</v>
      </c>
      <c r="D182" s="5" t="s">
        <v>108</v>
      </c>
      <c r="E182" s="5" t="s">
        <v>106</v>
      </c>
      <c r="F182" s="6">
        <v>0</v>
      </c>
    </row>
    <row r="183" spans="1:6" x14ac:dyDescent="0.3">
      <c r="A183" s="3">
        <v>44439</v>
      </c>
      <c r="B183" s="4" t="s">
        <v>79</v>
      </c>
      <c r="C183" s="5">
        <v>11</v>
      </c>
      <c r="D183" s="5" t="s">
        <v>108</v>
      </c>
      <c r="E183" s="5" t="s">
        <v>106</v>
      </c>
      <c r="F183" s="6">
        <v>0</v>
      </c>
    </row>
    <row r="184" spans="1:6" x14ac:dyDescent="0.3">
      <c r="A184" s="3">
        <v>44440</v>
      </c>
      <c r="B184" s="4" t="s">
        <v>56</v>
      </c>
      <c r="C184" s="5">
        <v>1</v>
      </c>
      <c r="D184" s="5" t="s">
        <v>105</v>
      </c>
      <c r="E184" s="5" t="s">
        <v>107</v>
      </c>
      <c r="F184" s="6">
        <v>0</v>
      </c>
    </row>
    <row r="185" spans="1:6" x14ac:dyDescent="0.3">
      <c r="A185" s="3">
        <v>44440</v>
      </c>
      <c r="B185" s="4" t="s">
        <v>12</v>
      </c>
      <c r="C185" s="5">
        <v>14</v>
      </c>
      <c r="D185" s="5" t="s">
        <v>106</v>
      </c>
      <c r="E185" s="5" t="s">
        <v>106</v>
      </c>
      <c r="F185" s="6">
        <v>0</v>
      </c>
    </row>
    <row r="186" spans="1:6" x14ac:dyDescent="0.3">
      <c r="A186" s="3">
        <v>44442</v>
      </c>
      <c r="B186" s="4" t="s">
        <v>92</v>
      </c>
      <c r="C186" s="5">
        <v>8</v>
      </c>
      <c r="D186" s="5" t="s">
        <v>108</v>
      </c>
      <c r="E186" s="5" t="s">
        <v>106</v>
      </c>
      <c r="F186" s="6">
        <v>0</v>
      </c>
    </row>
    <row r="187" spans="1:6" x14ac:dyDescent="0.3">
      <c r="A187" s="3">
        <v>44443</v>
      </c>
      <c r="B187" s="4" t="s">
        <v>65</v>
      </c>
      <c r="C187" s="5">
        <v>7</v>
      </c>
      <c r="D187" s="5" t="s">
        <v>108</v>
      </c>
      <c r="E187" s="5" t="s">
        <v>106</v>
      </c>
      <c r="F187" s="6">
        <v>0</v>
      </c>
    </row>
    <row r="188" spans="1:6" x14ac:dyDescent="0.3">
      <c r="A188" s="3">
        <v>44443</v>
      </c>
      <c r="B188" s="4" t="s">
        <v>54</v>
      </c>
      <c r="C188" s="5">
        <v>15</v>
      </c>
      <c r="D188" s="5" t="s">
        <v>108</v>
      </c>
      <c r="E188" s="5" t="s">
        <v>106</v>
      </c>
      <c r="F188" s="6">
        <v>0</v>
      </c>
    </row>
    <row r="189" spans="1:6" x14ac:dyDescent="0.3">
      <c r="A189" s="3">
        <v>44444</v>
      </c>
      <c r="B189" s="4" t="s">
        <v>73</v>
      </c>
      <c r="C189" s="5">
        <v>1</v>
      </c>
      <c r="D189" s="5" t="s">
        <v>108</v>
      </c>
      <c r="E189" s="5" t="s">
        <v>107</v>
      </c>
      <c r="F189" s="6">
        <v>0</v>
      </c>
    </row>
    <row r="190" spans="1:6" x14ac:dyDescent="0.3">
      <c r="A190" s="3">
        <v>44446</v>
      </c>
      <c r="B190" s="4" t="s">
        <v>45</v>
      </c>
      <c r="C190" s="5">
        <v>5</v>
      </c>
      <c r="D190" s="5" t="s">
        <v>108</v>
      </c>
      <c r="E190" s="5" t="s">
        <v>106</v>
      </c>
      <c r="F190" s="6">
        <v>0</v>
      </c>
    </row>
    <row r="191" spans="1:6" x14ac:dyDescent="0.3">
      <c r="A191" s="3">
        <v>44448</v>
      </c>
      <c r="B191" s="4" t="s">
        <v>98</v>
      </c>
      <c r="C191" s="5">
        <v>4</v>
      </c>
      <c r="D191" s="5" t="s">
        <v>108</v>
      </c>
      <c r="E191" s="5" t="s">
        <v>106</v>
      </c>
      <c r="F191" s="6">
        <v>0</v>
      </c>
    </row>
    <row r="192" spans="1:6" x14ac:dyDescent="0.3">
      <c r="A192" s="3">
        <v>44449</v>
      </c>
      <c r="B192" s="4" t="s">
        <v>69</v>
      </c>
      <c r="C192" s="5">
        <v>6</v>
      </c>
      <c r="D192" s="5" t="s">
        <v>108</v>
      </c>
      <c r="E192" s="5" t="s">
        <v>106</v>
      </c>
      <c r="F192" s="6">
        <v>0</v>
      </c>
    </row>
    <row r="193" spans="1:6" x14ac:dyDescent="0.3">
      <c r="A193" s="3">
        <v>44449</v>
      </c>
      <c r="B193" s="4" t="s">
        <v>6</v>
      </c>
      <c r="C193" s="5">
        <v>9</v>
      </c>
      <c r="D193" s="5" t="s">
        <v>105</v>
      </c>
      <c r="E193" s="5" t="s">
        <v>106</v>
      </c>
      <c r="F193" s="6">
        <v>0</v>
      </c>
    </row>
    <row r="194" spans="1:6" x14ac:dyDescent="0.3">
      <c r="A194" s="3">
        <v>44449</v>
      </c>
      <c r="B194" s="4" t="s">
        <v>60</v>
      </c>
      <c r="C194" s="5">
        <v>2</v>
      </c>
      <c r="D194" s="5" t="s">
        <v>108</v>
      </c>
      <c r="E194" s="5" t="s">
        <v>106</v>
      </c>
      <c r="F194" s="6">
        <v>0</v>
      </c>
    </row>
    <row r="195" spans="1:6" x14ac:dyDescent="0.3">
      <c r="A195" s="3">
        <v>44450</v>
      </c>
      <c r="B195" s="4" t="s">
        <v>6</v>
      </c>
      <c r="C195" s="5">
        <v>6</v>
      </c>
      <c r="D195" s="5" t="s">
        <v>105</v>
      </c>
      <c r="E195" s="5" t="s">
        <v>106</v>
      </c>
      <c r="F195" s="6">
        <v>0</v>
      </c>
    </row>
    <row r="196" spans="1:6" x14ac:dyDescent="0.3">
      <c r="A196" s="3">
        <v>44452</v>
      </c>
      <c r="B196" s="4" t="s">
        <v>92</v>
      </c>
      <c r="C196" s="5">
        <v>7</v>
      </c>
      <c r="D196" s="5" t="s">
        <v>108</v>
      </c>
      <c r="E196" s="5" t="s">
        <v>107</v>
      </c>
      <c r="F196" s="6">
        <v>0</v>
      </c>
    </row>
    <row r="197" spans="1:6" x14ac:dyDescent="0.3">
      <c r="A197" s="3">
        <v>44454</v>
      </c>
      <c r="B197" s="4" t="s">
        <v>94</v>
      </c>
      <c r="C197" s="5">
        <v>6</v>
      </c>
      <c r="D197" s="5" t="s">
        <v>108</v>
      </c>
      <c r="E197" s="5" t="s">
        <v>106</v>
      </c>
      <c r="F197" s="6">
        <v>0</v>
      </c>
    </row>
    <row r="198" spans="1:6" x14ac:dyDescent="0.3">
      <c r="A198" s="3">
        <v>44454</v>
      </c>
      <c r="B198" s="4" t="s">
        <v>94</v>
      </c>
      <c r="C198" s="5">
        <v>14</v>
      </c>
      <c r="D198" s="5" t="s">
        <v>108</v>
      </c>
      <c r="E198" s="5" t="s">
        <v>106</v>
      </c>
      <c r="F198" s="6">
        <v>0</v>
      </c>
    </row>
    <row r="199" spans="1:6" x14ac:dyDescent="0.3">
      <c r="A199" s="3">
        <v>44460</v>
      </c>
      <c r="B199" s="4" t="s">
        <v>47</v>
      </c>
      <c r="C199" s="5">
        <v>7</v>
      </c>
      <c r="D199" s="5" t="s">
        <v>105</v>
      </c>
      <c r="E199" s="5" t="s">
        <v>107</v>
      </c>
      <c r="F199" s="6">
        <v>0</v>
      </c>
    </row>
    <row r="200" spans="1:6" x14ac:dyDescent="0.3">
      <c r="A200" s="3">
        <v>44461</v>
      </c>
      <c r="B200" s="4" t="s">
        <v>90</v>
      </c>
      <c r="C200" s="5">
        <v>2</v>
      </c>
      <c r="D200" s="5" t="s">
        <v>106</v>
      </c>
      <c r="E200" s="5" t="s">
        <v>107</v>
      </c>
      <c r="F200" s="6">
        <v>0</v>
      </c>
    </row>
    <row r="201" spans="1:6" x14ac:dyDescent="0.3">
      <c r="A201" s="3">
        <v>44461</v>
      </c>
      <c r="B201" s="4" t="s">
        <v>10</v>
      </c>
      <c r="C201" s="5">
        <v>4</v>
      </c>
      <c r="D201" s="5" t="s">
        <v>108</v>
      </c>
      <c r="E201" s="5" t="s">
        <v>107</v>
      </c>
      <c r="F201" s="6">
        <v>0</v>
      </c>
    </row>
    <row r="202" spans="1:6" x14ac:dyDescent="0.3">
      <c r="A202" s="3">
        <v>44462</v>
      </c>
      <c r="B202" s="4" t="s">
        <v>43</v>
      </c>
      <c r="C202" s="5">
        <v>12</v>
      </c>
      <c r="D202" s="5" t="s">
        <v>108</v>
      </c>
      <c r="E202" s="5" t="s">
        <v>107</v>
      </c>
      <c r="F202" s="6">
        <v>0</v>
      </c>
    </row>
    <row r="203" spans="1:6" x14ac:dyDescent="0.3">
      <c r="A203" s="3">
        <v>44462</v>
      </c>
      <c r="B203" s="4" t="s">
        <v>50</v>
      </c>
      <c r="C203" s="5">
        <v>7</v>
      </c>
      <c r="D203" s="5" t="s">
        <v>106</v>
      </c>
      <c r="E203" s="5" t="s">
        <v>106</v>
      </c>
      <c r="F203" s="6">
        <v>0</v>
      </c>
    </row>
    <row r="204" spans="1:6" x14ac:dyDescent="0.3">
      <c r="A204" s="3">
        <v>44466</v>
      </c>
      <c r="B204" s="4" t="s">
        <v>77</v>
      </c>
      <c r="C204" s="5">
        <v>1</v>
      </c>
      <c r="D204" s="5" t="s">
        <v>108</v>
      </c>
      <c r="E204" s="5" t="s">
        <v>107</v>
      </c>
      <c r="F204" s="6">
        <v>0</v>
      </c>
    </row>
    <row r="205" spans="1:6" x14ac:dyDescent="0.3">
      <c r="A205" s="3">
        <v>44469</v>
      </c>
      <c r="B205" s="4" t="s">
        <v>35</v>
      </c>
      <c r="C205" s="5">
        <v>9</v>
      </c>
      <c r="D205" s="5" t="s">
        <v>106</v>
      </c>
      <c r="E205" s="5" t="s">
        <v>106</v>
      </c>
      <c r="F205" s="6">
        <v>0</v>
      </c>
    </row>
    <row r="206" spans="1:6" x14ac:dyDescent="0.3">
      <c r="A206" s="3">
        <v>44469</v>
      </c>
      <c r="B206" s="4" t="s">
        <v>18</v>
      </c>
      <c r="C206" s="5">
        <v>5</v>
      </c>
      <c r="D206" s="5" t="s">
        <v>106</v>
      </c>
      <c r="E206" s="5" t="s">
        <v>106</v>
      </c>
      <c r="F206" s="6">
        <v>0</v>
      </c>
    </row>
    <row r="207" spans="1:6" x14ac:dyDescent="0.3">
      <c r="A207" s="3">
        <v>44470</v>
      </c>
      <c r="B207" s="4" t="s">
        <v>69</v>
      </c>
      <c r="C207" s="5">
        <v>14</v>
      </c>
      <c r="D207" s="5" t="s">
        <v>106</v>
      </c>
      <c r="E207" s="5" t="s">
        <v>107</v>
      </c>
      <c r="F207" s="6">
        <v>0</v>
      </c>
    </row>
    <row r="208" spans="1:6" x14ac:dyDescent="0.3">
      <c r="A208" s="3">
        <v>44471</v>
      </c>
      <c r="B208" s="4" t="s">
        <v>35</v>
      </c>
      <c r="C208" s="5">
        <v>15</v>
      </c>
      <c r="D208" s="5" t="s">
        <v>108</v>
      </c>
      <c r="E208" s="5" t="s">
        <v>106</v>
      </c>
      <c r="F208" s="6">
        <v>0</v>
      </c>
    </row>
    <row r="209" spans="1:6" x14ac:dyDescent="0.3">
      <c r="A209" s="3">
        <v>44472</v>
      </c>
      <c r="B209" s="4" t="s">
        <v>45</v>
      </c>
      <c r="C209" s="5">
        <v>9</v>
      </c>
      <c r="D209" s="5" t="s">
        <v>108</v>
      </c>
      <c r="E209" s="5" t="s">
        <v>106</v>
      </c>
      <c r="F209" s="6">
        <v>0</v>
      </c>
    </row>
    <row r="210" spans="1:6" x14ac:dyDescent="0.3">
      <c r="A210" s="3">
        <v>44475</v>
      </c>
      <c r="B210" s="4" t="s">
        <v>79</v>
      </c>
      <c r="C210" s="5">
        <v>1</v>
      </c>
      <c r="D210" s="5" t="s">
        <v>108</v>
      </c>
      <c r="E210" s="5" t="s">
        <v>106</v>
      </c>
      <c r="F210" s="6">
        <v>0</v>
      </c>
    </row>
    <row r="211" spans="1:6" x14ac:dyDescent="0.3">
      <c r="A211" s="3">
        <v>44475</v>
      </c>
      <c r="B211" s="4" t="s">
        <v>81</v>
      </c>
      <c r="C211" s="5">
        <v>12</v>
      </c>
      <c r="D211" s="5" t="s">
        <v>106</v>
      </c>
      <c r="E211" s="5" t="s">
        <v>106</v>
      </c>
      <c r="F211" s="6">
        <v>0</v>
      </c>
    </row>
    <row r="212" spans="1:6" x14ac:dyDescent="0.3">
      <c r="A212" s="3">
        <v>44476</v>
      </c>
      <c r="B212" s="4" t="s">
        <v>60</v>
      </c>
      <c r="C212" s="5">
        <v>6</v>
      </c>
      <c r="D212" s="5" t="s">
        <v>108</v>
      </c>
      <c r="E212" s="5" t="s">
        <v>107</v>
      </c>
      <c r="F212" s="6">
        <v>0</v>
      </c>
    </row>
    <row r="213" spans="1:6" x14ac:dyDescent="0.3">
      <c r="A213" s="3">
        <v>44478</v>
      </c>
      <c r="B213" s="4" t="s">
        <v>86</v>
      </c>
      <c r="C213" s="5">
        <v>5</v>
      </c>
      <c r="D213" s="5" t="s">
        <v>108</v>
      </c>
      <c r="E213" s="5" t="s">
        <v>107</v>
      </c>
      <c r="F213" s="6">
        <v>0</v>
      </c>
    </row>
    <row r="214" spans="1:6" x14ac:dyDescent="0.3">
      <c r="A214" s="3">
        <v>44478</v>
      </c>
      <c r="B214" s="4" t="s">
        <v>73</v>
      </c>
      <c r="C214" s="5">
        <v>11</v>
      </c>
      <c r="D214" s="5" t="s">
        <v>106</v>
      </c>
      <c r="E214" s="5" t="s">
        <v>107</v>
      </c>
      <c r="F214" s="6">
        <v>0</v>
      </c>
    </row>
    <row r="215" spans="1:6" x14ac:dyDescent="0.3">
      <c r="A215" s="3">
        <v>44479</v>
      </c>
      <c r="B215" s="4" t="s">
        <v>79</v>
      </c>
      <c r="C215" s="5">
        <v>14</v>
      </c>
      <c r="D215" s="5" t="s">
        <v>108</v>
      </c>
      <c r="E215" s="5" t="s">
        <v>107</v>
      </c>
      <c r="F215" s="6">
        <v>0</v>
      </c>
    </row>
    <row r="216" spans="1:6" x14ac:dyDescent="0.3">
      <c r="A216" s="3">
        <v>44480</v>
      </c>
      <c r="B216" s="4" t="s">
        <v>29</v>
      </c>
      <c r="C216" s="5">
        <v>15</v>
      </c>
      <c r="D216" s="5" t="s">
        <v>108</v>
      </c>
      <c r="E216" s="5" t="s">
        <v>107</v>
      </c>
      <c r="F216" s="6">
        <v>0</v>
      </c>
    </row>
    <row r="217" spans="1:6" x14ac:dyDescent="0.3">
      <c r="A217" s="3">
        <v>44481</v>
      </c>
      <c r="B217" s="4" t="s">
        <v>63</v>
      </c>
      <c r="C217" s="5">
        <v>8</v>
      </c>
      <c r="D217" s="5" t="s">
        <v>106</v>
      </c>
      <c r="E217" s="5" t="s">
        <v>106</v>
      </c>
      <c r="F217" s="6">
        <v>0</v>
      </c>
    </row>
    <row r="218" spans="1:6" x14ac:dyDescent="0.3">
      <c r="A218" s="3">
        <v>44486</v>
      </c>
      <c r="B218" s="4" t="s">
        <v>6</v>
      </c>
      <c r="C218" s="5">
        <v>13</v>
      </c>
      <c r="D218" s="5" t="s">
        <v>108</v>
      </c>
      <c r="E218" s="5" t="s">
        <v>106</v>
      </c>
      <c r="F218" s="6">
        <v>0</v>
      </c>
    </row>
    <row r="219" spans="1:6" x14ac:dyDescent="0.3">
      <c r="A219" s="3">
        <v>44487</v>
      </c>
      <c r="B219" s="4" t="s">
        <v>58</v>
      </c>
      <c r="C219" s="5">
        <v>6</v>
      </c>
      <c r="D219" s="5" t="s">
        <v>106</v>
      </c>
      <c r="E219" s="5" t="s">
        <v>107</v>
      </c>
      <c r="F219" s="6">
        <v>0</v>
      </c>
    </row>
    <row r="220" spans="1:6" x14ac:dyDescent="0.3">
      <c r="A220" s="3">
        <v>44487</v>
      </c>
      <c r="B220" s="4" t="s">
        <v>50</v>
      </c>
      <c r="C220" s="5">
        <v>13</v>
      </c>
      <c r="D220" s="5" t="s">
        <v>106</v>
      </c>
      <c r="E220" s="5" t="s">
        <v>107</v>
      </c>
      <c r="F220" s="6">
        <v>0</v>
      </c>
    </row>
    <row r="221" spans="1:6" x14ac:dyDescent="0.3">
      <c r="A221" s="3">
        <v>44491</v>
      </c>
      <c r="B221" s="4" t="s">
        <v>29</v>
      </c>
      <c r="C221" s="5">
        <v>7</v>
      </c>
      <c r="D221" s="5" t="s">
        <v>108</v>
      </c>
      <c r="E221" s="5" t="s">
        <v>107</v>
      </c>
      <c r="F221" s="6">
        <v>0</v>
      </c>
    </row>
    <row r="222" spans="1:6" x14ac:dyDescent="0.3">
      <c r="A222" s="3">
        <v>44491</v>
      </c>
      <c r="B222" s="4" t="s">
        <v>56</v>
      </c>
      <c r="C222" s="5">
        <v>13</v>
      </c>
      <c r="D222" s="5" t="s">
        <v>106</v>
      </c>
      <c r="E222" s="5" t="s">
        <v>107</v>
      </c>
      <c r="F222" s="6">
        <v>0</v>
      </c>
    </row>
    <row r="223" spans="1:6" x14ac:dyDescent="0.3">
      <c r="A223" s="3">
        <v>44491</v>
      </c>
      <c r="B223" s="4" t="s">
        <v>24</v>
      </c>
      <c r="C223" s="5">
        <v>1</v>
      </c>
      <c r="D223" s="5" t="s">
        <v>108</v>
      </c>
      <c r="E223" s="5" t="s">
        <v>107</v>
      </c>
      <c r="F223" s="6">
        <v>0</v>
      </c>
    </row>
    <row r="224" spans="1:6" x14ac:dyDescent="0.3">
      <c r="A224" s="3">
        <v>44493</v>
      </c>
      <c r="B224" s="4" t="s">
        <v>29</v>
      </c>
      <c r="C224" s="5">
        <v>3</v>
      </c>
      <c r="D224" s="5" t="s">
        <v>105</v>
      </c>
      <c r="E224" s="5" t="s">
        <v>107</v>
      </c>
      <c r="F224" s="6">
        <v>0</v>
      </c>
    </row>
    <row r="225" spans="1:6" x14ac:dyDescent="0.3">
      <c r="A225" s="3">
        <v>44494</v>
      </c>
      <c r="B225" s="4" t="s">
        <v>98</v>
      </c>
      <c r="C225" s="5">
        <v>9</v>
      </c>
      <c r="D225" s="5" t="s">
        <v>106</v>
      </c>
      <c r="E225" s="5" t="s">
        <v>107</v>
      </c>
      <c r="F225" s="6">
        <v>0</v>
      </c>
    </row>
    <row r="226" spans="1:6" x14ac:dyDescent="0.3">
      <c r="A226" s="3">
        <v>44495</v>
      </c>
      <c r="B226" s="4" t="s">
        <v>14</v>
      </c>
      <c r="C226" s="5">
        <v>6</v>
      </c>
      <c r="D226" s="5" t="s">
        <v>105</v>
      </c>
      <c r="E226" s="5" t="s">
        <v>107</v>
      </c>
      <c r="F226" s="6">
        <v>0</v>
      </c>
    </row>
    <row r="227" spans="1:6" x14ac:dyDescent="0.3">
      <c r="A227" s="3">
        <v>44497</v>
      </c>
      <c r="B227" s="4" t="s">
        <v>22</v>
      </c>
      <c r="C227" s="5">
        <v>1</v>
      </c>
      <c r="D227" s="5" t="s">
        <v>108</v>
      </c>
      <c r="E227" s="5" t="s">
        <v>107</v>
      </c>
      <c r="F227" s="6">
        <v>0</v>
      </c>
    </row>
    <row r="228" spans="1:6" x14ac:dyDescent="0.3">
      <c r="A228" s="3">
        <v>44498</v>
      </c>
      <c r="B228" s="4" t="s">
        <v>86</v>
      </c>
      <c r="C228" s="5">
        <v>14</v>
      </c>
      <c r="D228" s="5" t="s">
        <v>106</v>
      </c>
      <c r="E228" s="5" t="s">
        <v>106</v>
      </c>
      <c r="F228" s="6">
        <v>0</v>
      </c>
    </row>
    <row r="229" spans="1:6" x14ac:dyDescent="0.3">
      <c r="A229" s="3">
        <v>44500</v>
      </c>
      <c r="B229" s="4" t="s">
        <v>50</v>
      </c>
      <c r="C229" s="5">
        <v>6</v>
      </c>
      <c r="D229" s="5" t="s">
        <v>106</v>
      </c>
      <c r="E229" s="5" t="s">
        <v>107</v>
      </c>
      <c r="F229" s="6">
        <v>0</v>
      </c>
    </row>
    <row r="230" spans="1:6" x14ac:dyDescent="0.3">
      <c r="A230" s="3">
        <v>44503</v>
      </c>
      <c r="B230" s="4" t="s">
        <v>33</v>
      </c>
      <c r="C230" s="5">
        <v>12</v>
      </c>
      <c r="D230" s="5" t="s">
        <v>108</v>
      </c>
      <c r="E230" s="5" t="s">
        <v>107</v>
      </c>
      <c r="F230" s="6">
        <v>0</v>
      </c>
    </row>
    <row r="231" spans="1:6" x14ac:dyDescent="0.3">
      <c r="A231" s="3">
        <v>44506</v>
      </c>
      <c r="B231" s="4" t="s">
        <v>81</v>
      </c>
      <c r="C231" s="5">
        <v>10</v>
      </c>
      <c r="D231" s="5" t="s">
        <v>108</v>
      </c>
      <c r="E231" s="5" t="s">
        <v>106</v>
      </c>
      <c r="F231" s="6">
        <v>0</v>
      </c>
    </row>
    <row r="232" spans="1:6" x14ac:dyDescent="0.3">
      <c r="A232" s="3">
        <v>44508</v>
      </c>
      <c r="B232" s="4" t="s">
        <v>20</v>
      </c>
      <c r="C232" s="5">
        <v>15</v>
      </c>
      <c r="D232" s="5" t="s">
        <v>108</v>
      </c>
      <c r="E232" s="5" t="s">
        <v>106</v>
      </c>
      <c r="F232" s="6">
        <v>0</v>
      </c>
    </row>
    <row r="233" spans="1:6" x14ac:dyDescent="0.3">
      <c r="A233" s="3">
        <v>44510</v>
      </c>
      <c r="B233" s="4" t="s">
        <v>94</v>
      </c>
      <c r="C233" s="5">
        <v>6</v>
      </c>
      <c r="D233" s="5" t="s">
        <v>106</v>
      </c>
      <c r="E233" s="5" t="s">
        <v>107</v>
      </c>
      <c r="F233" s="6">
        <v>0</v>
      </c>
    </row>
    <row r="234" spans="1:6" x14ac:dyDescent="0.3">
      <c r="A234" s="3">
        <v>44511</v>
      </c>
      <c r="B234" s="4" t="s">
        <v>90</v>
      </c>
      <c r="C234" s="5">
        <v>12</v>
      </c>
      <c r="D234" s="5" t="s">
        <v>105</v>
      </c>
      <c r="E234" s="5" t="s">
        <v>106</v>
      </c>
      <c r="F234" s="6">
        <v>0</v>
      </c>
    </row>
    <row r="235" spans="1:6" x14ac:dyDescent="0.3">
      <c r="A235" s="3">
        <v>44512</v>
      </c>
      <c r="B235" s="4" t="s">
        <v>26</v>
      </c>
      <c r="C235" s="5">
        <v>3</v>
      </c>
      <c r="D235" s="5" t="s">
        <v>106</v>
      </c>
      <c r="E235" s="5" t="s">
        <v>107</v>
      </c>
      <c r="F235" s="6">
        <v>0</v>
      </c>
    </row>
    <row r="236" spans="1:6" x14ac:dyDescent="0.3">
      <c r="A236" s="3">
        <v>44520</v>
      </c>
      <c r="B236" s="4" t="s">
        <v>77</v>
      </c>
      <c r="C236" s="5">
        <v>14</v>
      </c>
      <c r="D236" s="5" t="s">
        <v>106</v>
      </c>
      <c r="E236" s="5" t="s">
        <v>106</v>
      </c>
      <c r="F236" s="6">
        <v>0</v>
      </c>
    </row>
    <row r="237" spans="1:6" x14ac:dyDescent="0.3">
      <c r="A237" s="3">
        <v>44520</v>
      </c>
      <c r="B237" s="4" t="s">
        <v>22</v>
      </c>
      <c r="C237" s="5">
        <v>11</v>
      </c>
      <c r="D237" s="5" t="s">
        <v>106</v>
      </c>
      <c r="E237" s="5" t="s">
        <v>107</v>
      </c>
      <c r="F237" s="6">
        <v>0</v>
      </c>
    </row>
    <row r="238" spans="1:6" x14ac:dyDescent="0.3">
      <c r="A238" s="3">
        <v>44521</v>
      </c>
      <c r="B238" s="4" t="s">
        <v>35</v>
      </c>
      <c r="C238" s="5">
        <v>1</v>
      </c>
      <c r="D238" s="5" t="s">
        <v>105</v>
      </c>
      <c r="E238" s="5" t="s">
        <v>106</v>
      </c>
      <c r="F238" s="6">
        <v>0</v>
      </c>
    </row>
    <row r="239" spans="1:6" x14ac:dyDescent="0.3">
      <c r="A239" s="3">
        <v>44521</v>
      </c>
      <c r="B239" s="4" t="s">
        <v>18</v>
      </c>
      <c r="C239" s="5">
        <v>1</v>
      </c>
      <c r="D239" s="5" t="s">
        <v>106</v>
      </c>
      <c r="E239" s="5" t="s">
        <v>107</v>
      </c>
      <c r="F239" s="6">
        <v>0</v>
      </c>
    </row>
    <row r="240" spans="1:6" x14ac:dyDescent="0.3">
      <c r="A240" s="3">
        <v>44527</v>
      </c>
      <c r="B240" s="4" t="s">
        <v>31</v>
      </c>
      <c r="C240" s="5">
        <v>8</v>
      </c>
      <c r="D240" s="5" t="s">
        <v>106</v>
      </c>
      <c r="E240" s="5" t="s">
        <v>106</v>
      </c>
      <c r="F240" s="6">
        <v>0</v>
      </c>
    </row>
    <row r="241" spans="1:6" x14ac:dyDescent="0.3">
      <c r="A241" s="3">
        <v>44528</v>
      </c>
      <c r="B241" s="4" t="s">
        <v>90</v>
      </c>
      <c r="C241" s="5">
        <v>2</v>
      </c>
      <c r="D241" s="5" t="s">
        <v>108</v>
      </c>
      <c r="E241" s="5" t="s">
        <v>107</v>
      </c>
      <c r="F241" s="6">
        <v>0</v>
      </c>
    </row>
    <row r="242" spans="1:6" x14ac:dyDescent="0.3">
      <c r="A242" s="3">
        <v>44530</v>
      </c>
      <c r="B242" s="4" t="s">
        <v>88</v>
      </c>
      <c r="C242" s="5">
        <v>15</v>
      </c>
      <c r="D242" s="5" t="s">
        <v>108</v>
      </c>
      <c r="E242" s="5" t="s">
        <v>106</v>
      </c>
      <c r="F242" s="6">
        <v>0</v>
      </c>
    </row>
    <row r="243" spans="1:6" x14ac:dyDescent="0.3">
      <c r="A243" s="3">
        <v>44532</v>
      </c>
      <c r="B243" s="4" t="s">
        <v>39</v>
      </c>
      <c r="C243" s="5">
        <v>10</v>
      </c>
      <c r="D243" s="5" t="s">
        <v>108</v>
      </c>
      <c r="E243" s="5" t="s">
        <v>107</v>
      </c>
      <c r="F243" s="6">
        <v>0</v>
      </c>
    </row>
    <row r="244" spans="1:6" x14ac:dyDescent="0.3">
      <c r="A244" s="3">
        <v>44533</v>
      </c>
      <c r="B244" s="4" t="s">
        <v>77</v>
      </c>
      <c r="C244" s="5">
        <v>2</v>
      </c>
      <c r="D244" s="5" t="s">
        <v>106</v>
      </c>
      <c r="E244" s="5" t="s">
        <v>107</v>
      </c>
      <c r="F244" s="6">
        <v>0</v>
      </c>
    </row>
    <row r="245" spans="1:6" x14ac:dyDescent="0.3">
      <c r="A245" s="3">
        <v>44533</v>
      </c>
      <c r="B245" s="4" t="s">
        <v>45</v>
      </c>
      <c r="C245" s="5">
        <v>8</v>
      </c>
      <c r="D245" s="5" t="s">
        <v>106</v>
      </c>
      <c r="E245" s="5" t="s">
        <v>106</v>
      </c>
      <c r="F245" s="6">
        <v>0</v>
      </c>
    </row>
    <row r="246" spans="1:6" x14ac:dyDescent="0.3">
      <c r="A246" s="3">
        <v>44535</v>
      </c>
      <c r="B246" s="4" t="s">
        <v>14</v>
      </c>
      <c r="C246" s="5">
        <v>15</v>
      </c>
      <c r="D246" s="5" t="s">
        <v>108</v>
      </c>
      <c r="E246" s="5" t="s">
        <v>107</v>
      </c>
      <c r="F246" s="6">
        <v>0</v>
      </c>
    </row>
    <row r="247" spans="1:6" x14ac:dyDescent="0.3">
      <c r="A247" s="3">
        <v>44535</v>
      </c>
      <c r="B247" s="4" t="s">
        <v>26</v>
      </c>
      <c r="C247" s="5">
        <v>1</v>
      </c>
      <c r="D247" s="5" t="s">
        <v>108</v>
      </c>
      <c r="E247" s="5" t="s">
        <v>106</v>
      </c>
      <c r="F247" s="6">
        <v>0</v>
      </c>
    </row>
    <row r="248" spans="1:6" x14ac:dyDescent="0.3">
      <c r="A248" s="3">
        <v>44537</v>
      </c>
      <c r="B248" s="4" t="s">
        <v>33</v>
      </c>
      <c r="C248" s="5">
        <v>8</v>
      </c>
      <c r="D248" s="5" t="s">
        <v>108</v>
      </c>
      <c r="E248" s="5" t="s">
        <v>106</v>
      </c>
      <c r="F248" s="6">
        <v>0</v>
      </c>
    </row>
    <row r="249" spans="1:6" x14ac:dyDescent="0.3">
      <c r="A249" s="3">
        <v>44538</v>
      </c>
      <c r="B249" s="4" t="s">
        <v>98</v>
      </c>
      <c r="C249" s="5">
        <v>14</v>
      </c>
      <c r="D249" s="5" t="s">
        <v>108</v>
      </c>
      <c r="E249" s="5" t="s">
        <v>106</v>
      </c>
      <c r="F249" s="6">
        <v>0</v>
      </c>
    </row>
    <row r="250" spans="1:6" x14ac:dyDescent="0.3">
      <c r="A250" s="3">
        <v>44544</v>
      </c>
      <c r="B250" s="4" t="s">
        <v>94</v>
      </c>
      <c r="C250" s="5">
        <v>4</v>
      </c>
      <c r="D250" s="5" t="s">
        <v>108</v>
      </c>
      <c r="E250" s="5" t="s">
        <v>106</v>
      </c>
      <c r="F250" s="6">
        <v>0</v>
      </c>
    </row>
    <row r="251" spans="1:6" x14ac:dyDescent="0.3">
      <c r="A251" s="3">
        <v>44548</v>
      </c>
      <c r="B251" s="4" t="s">
        <v>12</v>
      </c>
      <c r="C251" s="5">
        <v>2</v>
      </c>
      <c r="D251" s="5" t="s">
        <v>108</v>
      </c>
      <c r="E251" s="5" t="s">
        <v>107</v>
      </c>
      <c r="F251" s="6">
        <v>0</v>
      </c>
    </row>
    <row r="252" spans="1:6" x14ac:dyDescent="0.3">
      <c r="A252" s="3">
        <v>44548</v>
      </c>
      <c r="B252" s="4" t="s">
        <v>52</v>
      </c>
      <c r="C252" s="5">
        <v>8</v>
      </c>
      <c r="D252" s="5" t="s">
        <v>106</v>
      </c>
      <c r="E252" s="5" t="s">
        <v>107</v>
      </c>
      <c r="F252" s="6">
        <v>0</v>
      </c>
    </row>
    <row r="253" spans="1:6" x14ac:dyDescent="0.3">
      <c r="A253" s="3">
        <v>44549</v>
      </c>
      <c r="B253" s="4" t="s">
        <v>54</v>
      </c>
      <c r="C253" s="5">
        <v>12</v>
      </c>
      <c r="D253" s="5" t="s">
        <v>108</v>
      </c>
      <c r="E253" s="5" t="s">
        <v>106</v>
      </c>
      <c r="F253" s="6">
        <v>0</v>
      </c>
    </row>
    <row r="254" spans="1:6" x14ac:dyDescent="0.3">
      <c r="A254" s="3">
        <v>44549</v>
      </c>
      <c r="B254" s="4" t="s">
        <v>67</v>
      </c>
      <c r="C254" s="5">
        <v>3</v>
      </c>
      <c r="D254" s="5" t="s">
        <v>105</v>
      </c>
      <c r="E254" s="5" t="s">
        <v>106</v>
      </c>
      <c r="F254" s="6">
        <v>0</v>
      </c>
    </row>
    <row r="255" spans="1:6" x14ac:dyDescent="0.3">
      <c r="A255" s="3">
        <v>44549</v>
      </c>
      <c r="B255" s="4" t="s">
        <v>29</v>
      </c>
      <c r="C255" s="5">
        <v>10</v>
      </c>
      <c r="D255" s="5" t="s">
        <v>106</v>
      </c>
      <c r="E255" s="5" t="s">
        <v>106</v>
      </c>
      <c r="F255" s="6">
        <v>0</v>
      </c>
    </row>
    <row r="256" spans="1:6" x14ac:dyDescent="0.3">
      <c r="A256" s="3">
        <v>44550</v>
      </c>
      <c r="B256" s="4" t="s">
        <v>31</v>
      </c>
      <c r="C256" s="5">
        <v>14</v>
      </c>
      <c r="D256" s="5" t="s">
        <v>108</v>
      </c>
      <c r="E256" s="5" t="s">
        <v>106</v>
      </c>
      <c r="F256" s="6">
        <v>0</v>
      </c>
    </row>
    <row r="257" spans="1:6" x14ac:dyDescent="0.3">
      <c r="A257" s="3">
        <v>44551</v>
      </c>
      <c r="B257" s="4" t="s">
        <v>60</v>
      </c>
      <c r="C257" s="5">
        <v>10</v>
      </c>
      <c r="D257" s="5" t="s">
        <v>106</v>
      </c>
      <c r="E257" s="5" t="s">
        <v>107</v>
      </c>
      <c r="F257" s="6">
        <v>0</v>
      </c>
    </row>
    <row r="258" spans="1:6" x14ac:dyDescent="0.3">
      <c r="A258" s="3">
        <v>44554</v>
      </c>
      <c r="B258" s="4" t="s">
        <v>94</v>
      </c>
      <c r="C258" s="5">
        <v>8</v>
      </c>
      <c r="D258" s="5" t="s">
        <v>105</v>
      </c>
      <c r="E258" s="5" t="s">
        <v>107</v>
      </c>
      <c r="F258" s="6">
        <v>0</v>
      </c>
    </row>
    <row r="259" spans="1:6" x14ac:dyDescent="0.3">
      <c r="A259" s="3">
        <v>44554</v>
      </c>
      <c r="B259" s="4" t="s">
        <v>81</v>
      </c>
      <c r="C259" s="5">
        <v>8</v>
      </c>
      <c r="D259" s="5" t="s">
        <v>105</v>
      </c>
      <c r="E259" s="5" t="s">
        <v>106</v>
      </c>
      <c r="F259" s="6">
        <v>0</v>
      </c>
    </row>
    <row r="260" spans="1:6" x14ac:dyDescent="0.3">
      <c r="A260" s="3">
        <v>44556</v>
      </c>
      <c r="B260" s="4" t="s">
        <v>92</v>
      </c>
      <c r="C260" s="5">
        <v>14</v>
      </c>
      <c r="D260" s="5" t="s">
        <v>106</v>
      </c>
      <c r="E260" s="5" t="s">
        <v>107</v>
      </c>
      <c r="F260" s="6">
        <v>0</v>
      </c>
    </row>
    <row r="261" spans="1:6" x14ac:dyDescent="0.3">
      <c r="A261" s="3">
        <v>44557</v>
      </c>
      <c r="B261" s="4" t="s">
        <v>67</v>
      </c>
      <c r="C261" s="5">
        <v>14</v>
      </c>
      <c r="D261" s="5" t="s">
        <v>108</v>
      </c>
      <c r="E261" s="5" t="s">
        <v>107</v>
      </c>
      <c r="F261" s="6">
        <v>0</v>
      </c>
    </row>
    <row r="262" spans="1:6" x14ac:dyDescent="0.3">
      <c r="A262" s="3">
        <v>44558</v>
      </c>
      <c r="B262" s="4" t="s">
        <v>67</v>
      </c>
      <c r="C262" s="5">
        <v>6</v>
      </c>
      <c r="D262" s="5" t="s">
        <v>108</v>
      </c>
      <c r="E262" s="5" t="s">
        <v>107</v>
      </c>
      <c r="F262" s="6">
        <v>0</v>
      </c>
    </row>
    <row r="263" spans="1:6" x14ac:dyDescent="0.3">
      <c r="A263" s="3">
        <v>44560</v>
      </c>
      <c r="B263" s="4" t="s">
        <v>26</v>
      </c>
      <c r="C263" s="5">
        <v>13</v>
      </c>
      <c r="D263" s="5" t="s">
        <v>106</v>
      </c>
      <c r="E263" s="5" t="s">
        <v>106</v>
      </c>
      <c r="F263" s="6">
        <v>0</v>
      </c>
    </row>
    <row r="264" spans="1:6" x14ac:dyDescent="0.3">
      <c r="A264" s="3">
        <v>44562</v>
      </c>
      <c r="B264" s="4" t="s">
        <v>52</v>
      </c>
      <c r="C264" s="5">
        <v>1</v>
      </c>
      <c r="D264" s="5" t="s">
        <v>105</v>
      </c>
      <c r="E264" s="5" t="s">
        <v>107</v>
      </c>
      <c r="F264" s="6">
        <v>0</v>
      </c>
    </row>
    <row r="265" spans="1:6" x14ac:dyDescent="0.3">
      <c r="A265" s="3">
        <v>44563</v>
      </c>
      <c r="B265" s="4" t="s">
        <v>26</v>
      </c>
      <c r="C265" s="5">
        <v>7</v>
      </c>
      <c r="D265" s="5" t="s">
        <v>108</v>
      </c>
      <c r="E265" s="5" t="s">
        <v>107</v>
      </c>
      <c r="F265" s="6">
        <v>0</v>
      </c>
    </row>
    <row r="266" spans="1:6" x14ac:dyDescent="0.3">
      <c r="A266" s="3">
        <v>44563</v>
      </c>
      <c r="B266" s="4" t="s">
        <v>37</v>
      </c>
      <c r="C266" s="5">
        <v>2</v>
      </c>
      <c r="D266" s="5" t="s">
        <v>106</v>
      </c>
      <c r="E266" s="5" t="s">
        <v>107</v>
      </c>
      <c r="F266" s="6">
        <v>0</v>
      </c>
    </row>
    <row r="267" spans="1:6" x14ac:dyDescent="0.3">
      <c r="A267" s="3">
        <v>44563</v>
      </c>
      <c r="B267" s="4" t="s">
        <v>75</v>
      </c>
      <c r="C267" s="5">
        <v>1</v>
      </c>
      <c r="D267" s="5" t="s">
        <v>108</v>
      </c>
      <c r="E267" s="5" t="s">
        <v>107</v>
      </c>
      <c r="F267" s="6">
        <v>0</v>
      </c>
    </row>
    <row r="268" spans="1:6" x14ac:dyDescent="0.3">
      <c r="A268" s="3">
        <v>44564</v>
      </c>
      <c r="B268" s="4" t="s">
        <v>96</v>
      </c>
      <c r="C268" s="5">
        <v>9</v>
      </c>
      <c r="D268" s="5" t="s">
        <v>108</v>
      </c>
      <c r="E268" s="5" t="s">
        <v>107</v>
      </c>
      <c r="F268" s="6">
        <v>0</v>
      </c>
    </row>
    <row r="269" spans="1:6" x14ac:dyDescent="0.3">
      <c r="A269" s="3">
        <v>44565</v>
      </c>
      <c r="B269" s="4" t="s">
        <v>31</v>
      </c>
      <c r="C269" s="5">
        <v>8</v>
      </c>
      <c r="D269" s="5" t="s">
        <v>108</v>
      </c>
      <c r="E269" s="5" t="s">
        <v>106</v>
      </c>
      <c r="F269" s="6">
        <v>0</v>
      </c>
    </row>
    <row r="270" spans="1:6" x14ac:dyDescent="0.3">
      <c r="A270" s="3">
        <v>44565</v>
      </c>
      <c r="B270" s="4" t="s">
        <v>67</v>
      </c>
      <c r="C270" s="5">
        <v>1</v>
      </c>
      <c r="D270" s="5" t="s">
        <v>106</v>
      </c>
      <c r="E270" s="5" t="s">
        <v>106</v>
      </c>
      <c r="F270" s="6">
        <v>0</v>
      </c>
    </row>
    <row r="271" spans="1:6" x14ac:dyDescent="0.3">
      <c r="A271" s="3">
        <v>44570</v>
      </c>
      <c r="B271" s="4" t="s">
        <v>73</v>
      </c>
      <c r="C271" s="5">
        <v>12</v>
      </c>
      <c r="D271" s="5" t="s">
        <v>108</v>
      </c>
      <c r="E271" s="5" t="s">
        <v>106</v>
      </c>
      <c r="F271" s="6">
        <v>0</v>
      </c>
    </row>
    <row r="272" spans="1:6" x14ac:dyDescent="0.3">
      <c r="A272" s="3">
        <v>44571</v>
      </c>
      <c r="B272" s="4" t="s">
        <v>77</v>
      </c>
      <c r="C272" s="5">
        <v>14</v>
      </c>
      <c r="D272" s="5" t="s">
        <v>106</v>
      </c>
      <c r="E272" s="5" t="s">
        <v>106</v>
      </c>
      <c r="F272" s="6">
        <v>0</v>
      </c>
    </row>
    <row r="273" spans="1:6" x14ac:dyDescent="0.3">
      <c r="A273" s="3">
        <v>44572</v>
      </c>
      <c r="B273" s="4" t="s">
        <v>73</v>
      </c>
      <c r="C273" s="5">
        <v>2</v>
      </c>
      <c r="D273" s="5" t="s">
        <v>108</v>
      </c>
      <c r="E273" s="5" t="s">
        <v>106</v>
      </c>
      <c r="F273" s="6">
        <v>0</v>
      </c>
    </row>
    <row r="274" spans="1:6" x14ac:dyDescent="0.3">
      <c r="A274" s="3">
        <v>44574</v>
      </c>
      <c r="B274" s="4" t="s">
        <v>45</v>
      </c>
      <c r="C274" s="5">
        <v>6</v>
      </c>
      <c r="D274" s="5" t="s">
        <v>106</v>
      </c>
      <c r="E274" s="5" t="s">
        <v>106</v>
      </c>
      <c r="F274" s="6">
        <v>0</v>
      </c>
    </row>
    <row r="275" spans="1:6" x14ac:dyDescent="0.3">
      <c r="A275" s="3">
        <v>44575</v>
      </c>
      <c r="B275" s="4" t="s">
        <v>29</v>
      </c>
      <c r="C275" s="5">
        <v>14</v>
      </c>
      <c r="D275" s="5" t="s">
        <v>108</v>
      </c>
      <c r="E275" s="5" t="s">
        <v>106</v>
      </c>
      <c r="F275" s="6">
        <v>0</v>
      </c>
    </row>
    <row r="276" spans="1:6" x14ac:dyDescent="0.3">
      <c r="A276" s="3">
        <v>44576</v>
      </c>
      <c r="B276" s="4" t="s">
        <v>52</v>
      </c>
      <c r="C276" s="5">
        <v>10</v>
      </c>
      <c r="D276" s="5" t="s">
        <v>108</v>
      </c>
      <c r="E276" s="5" t="s">
        <v>107</v>
      </c>
      <c r="F276" s="6">
        <v>0</v>
      </c>
    </row>
    <row r="277" spans="1:6" x14ac:dyDescent="0.3">
      <c r="A277" s="3">
        <v>44577</v>
      </c>
      <c r="B277" s="4" t="s">
        <v>35</v>
      </c>
      <c r="C277" s="5">
        <v>11</v>
      </c>
      <c r="D277" s="5" t="s">
        <v>106</v>
      </c>
      <c r="E277" s="5" t="s">
        <v>107</v>
      </c>
      <c r="F277" s="6">
        <v>0</v>
      </c>
    </row>
    <row r="278" spans="1:6" x14ac:dyDescent="0.3">
      <c r="A278" s="3">
        <v>44578</v>
      </c>
      <c r="B278" s="4" t="s">
        <v>90</v>
      </c>
      <c r="C278" s="5">
        <v>4</v>
      </c>
      <c r="D278" s="5" t="s">
        <v>106</v>
      </c>
      <c r="E278" s="5" t="s">
        <v>106</v>
      </c>
      <c r="F278" s="6">
        <v>0</v>
      </c>
    </row>
    <row r="279" spans="1:6" x14ac:dyDescent="0.3">
      <c r="A279" s="3">
        <v>44579</v>
      </c>
      <c r="B279" s="4" t="s">
        <v>22</v>
      </c>
      <c r="C279" s="5">
        <v>9</v>
      </c>
      <c r="D279" s="5" t="s">
        <v>105</v>
      </c>
      <c r="E279" s="5" t="s">
        <v>107</v>
      </c>
      <c r="F279" s="6">
        <v>0</v>
      </c>
    </row>
    <row r="280" spans="1:6" x14ac:dyDescent="0.3">
      <c r="A280" s="3">
        <v>44581</v>
      </c>
      <c r="B280" s="4" t="s">
        <v>50</v>
      </c>
      <c r="C280" s="5">
        <v>2</v>
      </c>
      <c r="D280" s="5" t="s">
        <v>108</v>
      </c>
      <c r="E280" s="5" t="s">
        <v>107</v>
      </c>
      <c r="F280" s="6">
        <v>0</v>
      </c>
    </row>
    <row r="281" spans="1:6" x14ac:dyDescent="0.3">
      <c r="A281" s="3">
        <v>44581</v>
      </c>
      <c r="B281" s="4" t="s">
        <v>35</v>
      </c>
      <c r="C281" s="5">
        <v>7</v>
      </c>
      <c r="D281" s="5" t="s">
        <v>106</v>
      </c>
      <c r="E281" s="5" t="s">
        <v>106</v>
      </c>
      <c r="F281" s="6">
        <v>0</v>
      </c>
    </row>
    <row r="282" spans="1:6" x14ac:dyDescent="0.3">
      <c r="A282" s="3">
        <v>44583</v>
      </c>
      <c r="B282" s="4" t="s">
        <v>6</v>
      </c>
      <c r="C282" s="5">
        <v>6</v>
      </c>
      <c r="D282" s="5" t="s">
        <v>106</v>
      </c>
      <c r="E282" s="5" t="s">
        <v>107</v>
      </c>
      <c r="F282" s="6">
        <v>0</v>
      </c>
    </row>
    <row r="283" spans="1:6" x14ac:dyDescent="0.3">
      <c r="A283" s="3">
        <v>44584</v>
      </c>
      <c r="B283" s="4" t="s">
        <v>10</v>
      </c>
      <c r="C283" s="5">
        <v>5</v>
      </c>
      <c r="D283" s="5" t="s">
        <v>105</v>
      </c>
      <c r="E283" s="5" t="s">
        <v>107</v>
      </c>
      <c r="F283" s="6">
        <v>0</v>
      </c>
    </row>
    <row r="284" spans="1:6" x14ac:dyDescent="0.3">
      <c r="A284" s="3">
        <v>44584</v>
      </c>
      <c r="B284" s="4" t="s">
        <v>94</v>
      </c>
      <c r="C284" s="5">
        <v>8</v>
      </c>
      <c r="D284" s="5" t="s">
        <v>108</v>
      </c>
      <c r="E284" s="5" t="s">
        <v>106</v>
      </c>
      <c r="F284" s="6">
        <v>0</v>
      </c>
    </row>
    <row r="285" spans="1:6" x14ac:dyDescent="0.3">
      <c r="A285" s="3">
        <v>44585</v>
      </c>
      <c r="B285" s="4" t="s">
        <v>69</v>
      </c>
      <c r="C285" s="5">
        <v>15</v>
      </c>
      <c r="D285" s="5" t="s">
        <v>106</v>
      </c>
      <c r="E285" s="5" t="s">
        <v>106</v>
      </c>
      <c r="F285" s="6">
        <v>0</v>
      </c>
    </row>
    <row r="286" spans="1:6" x14ac:dyDescent="0.3">
      <c r="A286" s="3">
        <v>44586</v>
      </c>
      <c r="B286" s="4" t="s">
        <v>41</v>
      </c>
      <c r="C286" s="5">
        <v>14</v>
      </c>
      <c r="D286" s="5" t="s">
        <v>108</v>
      </c>
      <c r="E286" s="5" t="s">
        <v>107</v>
      </c>
      <c r="F286" s="6">
        <v>0</v>
      </c>
    </row>
    <row r="287" spans="1:6" x14ac:dyDescent="0.3">
      <c r="A287" s="3">
        <v>44589</v>
      </c>
      <c r="B287" s="4" t="s">
        <v>39</v>
      </c>
      <c r="C287" s="5">
        <v>11</v>
      </c>
      <c r="D287" s="5" t="s">
        <v>108</v>
      </c>
      <c r="E287" s="5" t="s">
        <v>106</v>
      </c>
      <c r="F287" s="6">
        <v>0</v>
      </c>
    </row>
    <row r="288" spans="1:6" x14ac:dyDescent="0.3">
      <c r="A288" s="3">
        <v>44592</v>
      </c>
      <c r="B288" s="4" t="s">
        <v>54</v>
      </c>
      <c r="C288" s="5">
        <v>6</v>
      </c>
      <c r="D288" s="5" t="s">
        <v>106</v>
      </c>
      <c r="E288" s="5" t="s">
        <v>107</v>
      </c>
      <c r="F288" s="6">
        <v>0</v>
      </c>
    </row>
    <row r="289" spans="1:6" x14ac:dyDescent="0.3">
      <c r="A289" s="3">
        <v>44592</v>
      </c>
      <c r="B289" s="4" t="s">
        <v>92</v>
      </c>
      <c r="C289" s="5">
        <v>9</v>
      </c>
      <c r="D289" s="5" t="s">
        <v>108</v>
      </c>
      <c r="E289" s="5" t="s">
        <v>107</v>
      </c>
      <c r="F289" s="6">
        <v>0</v>
      </c>
    </row>
    <row r="290" spans="1:6" x14ac:dyDescent="0.3">
      <c r="A290" s="3">
        <v>44593</v>
      </c>
      <c r="B290" s="4" t="s">
        <v>16</v>
      </c>
      <c r="C290" s="5">
        <v>9</v>
      </c>
      <c r="D290" s="5" t="s">
        <v>108</v>
      </c>
      <c r="E290" s="5" t="s">
        <v>107</v>
      </c>
      <c r="F290" s="6">
        <v>0</v>
      </c>
    </row>
    <row r="291" spans="1:6" x14ac:dyDescent="0.3">
      <c r="A291" s="3">
        <v>44595</v>
      </c>
      <c r="B291" s="4" t="s">
        <v>35</v>
      </c>
      <c r="C291" s="5">
        <v>8</v>
      </c>
      <c r="D291" s="5" t="s">
        <v>108</v>
      </c>
      <c r="E291" s="5" t="s">
        <v>106</v>
      </c>
      <c r="F291" s="6">
        <v>0</v>
      </c>
    </row>
    <row r="292" spans="1:6" x14ac:dyDescent="0.3">
      <c r="A292" s="3">
        <v>44597</v>
      </c>
      <c r="B292" s="4" t="s">
        <v>43</v>
      </c>
      <c r="C292" s="5">
        <v>6</v>
      </c>
      <c r="D292" s="5" t="s">
        <v>108</v>
      </c>
      <c r="E292" s="5" t="s">
        <v>107</v>
      </c>
      <c r="F292" s="6">
        <v>0</v>
      </c>
    </row>
    <row r="293" spans="1:6" x14ac:dyDescent="0.3">
      <c r="A293" s="3">
        <v>44598</v>
      </c>
      <c r="B293" s="4" t="s">
        <v>10</v>
      </c>
      <c r="C293" s="5">
        <v>6</v>
      </c>
      <c r="D293" s="5" t="s">
        <v>108</v>
      </c>
      <c r="E293" s="5" t="s">
        <v>107</v>
      </c>
      <c r="F293" s="6">
        <v>0</v>
      </c>
    </row>
    <row r="294" spans="1:6" x14ac:dyDescent="0.3">
      <c r="A294" s="3">
        <v>44600</v>
      </c>
      <c r="B294" s="4" t="s">
        <v>16</v>
      </c>
      <c r="C294" s="5">
        <v>11</v>
      </c>
      <c r="D294" s="5" t="s">
        <v>106</v>
      </c>
      <c r="E294" s="5" t="s">
        <v>107</v>
      </c>
      <c r="F294" s="6">
        <v>0</v>
      </c>
    </row>
    <row r="295" spans="1:6" x14ac:dyDescent="0.3">
      <c r="A295" s="3">
        <v>44600</v>
      </c>
      <c r="B295" s="4" t="s">
        <v>14</v>
      </c>
      <c r="C295" s="5">
        <v>3</v>
      </c>
      <c r="D295" s="5" t="s">
        <v>106</v>
      </c>
      <c r="E295" s="5" t="s">
        <v>107</v>
      </c>
      <c r="F295" s="6">
        <v>0</v>
      </c>
    </row>
    <row r="296" spans="1:6" x14ac:dyDescent="0.3">
      <c r="A296" s="3">
        <v>44601</v>
      </c>
      <c r="B296" s="4" t="s">
        <v>73</v>
      </c>
      <c r="C296" s="5">
        <v>14</v>
      </c>
      <c r="D296" s="5" t="s">
        <v>106</v>
      </c>
      <c r="E296" s="5" t="s">
        <v>106</v>
      </c>
      <c r="F296" s="6">
        <v>0</v>
      </c>
    </row>
    <row r="297" spans="1:6" x14ac:dyDescent="0.3">
      <c r="A297" s="3">
        <v>44604</v>
      </c>
      <c r="B297" s="4" t="s">
        <v>26</v>
      </c>
      <c r="C297" s="5">
        <v>13</v>
      </c>
      <c r="D297" s="5" t="s">
        <v>108</v>
      </c>
      <c r="E297" s="5" t="s">
        <v>107</v>
      </c>
      <c r="F297" s="6">
        <v>0</v>
      </c>
    </row>
    <row r="298" spans="1:6" x14ac:dyDescent="0.3">
      <c r="A298" s="3">
        <v>44606</v>
      </c>
      <c r="B298" s="4" t="s">
        <v>60</v>
      </c>
      <c r="C298" s="5">
        <v>8</v>
      </c>
      <c r="D298" s="5" t="s">
        <v>106</v>
      </c>
      <c r="E298" s="5" t="s">
        <v>107</v>
      </c>
      <c r="F298" s="6">
        <v>0</v>
      </c>
    </row>
    <row r="299" spans="1:6" x14ac:dyDescent="0.3">
      <c r="A299" s="3">
        <v>44606</v>
      </c>
      <c r="B299" s="4" t="s">
        <v>65</v>
      </c>
      <c r="C299" s="5">
        <v>3</v>
      </c>
      <c r="D299" s="5" t="s">
        <v>108</v>
      </c>
      <c r="E299" s="5" t="s">
        <v>107</v>
      </c>
      <c r="F299" s="6">
        <v>0</v>
      </c>
    </row>
    <row r="300" spans="1:6" x14ac:dyDescent="0.3">
      <c r="A300" s="3">
        <v>44608</v>
      </c>
      <c r="B300" s="4" t="s">
        <v>73</v>
      </c>
      <c r="C300" s="5">
        <v>1</v>
      </c>
      <c r="D300" s="5" t="s">
        <v>106</v>
      </c>
      <c r="E300" s="5" t="s">
        <v>107</v>
      </c>
      <c r="F300" s="6">
        <v>0</v>
      </c>
    </row>
    <row r="301" spans="1:6" x14ac:dyDescent="0.3">
      <c r="A301" s="3">
        <v>44611</v>
      </c>
      <c r="B301" s="4" t="s">
        <v>10</v>
      </c>
      <c r="C301" s="5">
        <v>13</v>
      </c>
      <c r="D301" s="5" t="s">
        <v>106</v>
      </c>
      <c r="E301" s="5" t="s">
        <v>107</v>
      </c>
      <c r="F301" s="6">
        <v>0</v>
      </c>
    </row>
    <row r="302" spans="1:6" x14ac:dyDescent="0.3">
      <c r="A302" s="3">
        <v>44612</v>
      </c>
      <c r="B302" s="4" t="s">
        <v>31</v>
      </c>
      <c r="C302" s="5">
        <v>6</v>
      </c>
      <c r="D302" s="5" t="s">
        <v>108</v>
      </c>
      <c r="E302" s="5" t="s">
        <v>107</v>
      </c>
      <c r="F302" s="6">
        <v>0</v>
      </c>
    </row>
    <row r="303" spans="1:6" x14ac:dyDescent="0.3">
      <c r="A303" s="3">
        <v>44615</v>
      </c>
      <c r="B303" s="4" t="s">
        <v>33</v>
      </c>
      <c r="C303" s="5">
        <v>6</v>
      </c>
      <c r="D303" s="5" t="s">
        <v>106</v>
      </c>
      <c r="E303" s="5" t="s">
        <v>106</v>
      </c>
      <c r="F303" s="6">
        <v>0</v>
      </c>
    </row>
    <row r="304" spans="1:6" x14ac:dyDescent="0.3">
      <c r="A304" s="3">
        <v>44615</v>
      </c>
      <c r="B304" s="4" t="s">
        <v>39</v>
      </c>
      <c r="C304" s="5">
        <v>15</v>
      </c>
      <c r="D304" s="5" t="s">
        <v>106</v>
      </c>
      <c r="E304" s="5" t="s">
        <v>107</v>
      </c>
      <c r="F304" s="6">
        <v>0</v>
      </c>
    </row>
    <row r="305" spans="1:6" x14ac:dyDescent="0.3">
      <c r="A305" s="3">
        <v>44615</v>
      </c>
      <c r="B305" s="4" t="s">
        <v>81</v>
      </c>
      <c r="C305" s="5">
        <v>8</v>
      </c>
      <c r="D305" s="5" t="s">
        <v>108</v>
      </c>
      <c r="E305" s="5" t="s">
        <v>106</v>
      </c>
      <c r="F305" s="6">
        <v>0</v>
      </c>
    </row>
    <row r="306" spans="1:6" x14ac:dyDescent="0.3">
      <c r="A306" s="3">
        <v>44619</v>
      </c>
      <c r="B306" s="4" t="s">
        <v>31</v>
      </c>
      <c r="C306" s="5">
        <v>7</v>
      </c>
      <c r="D306" s="5" t="s">
        <v>108</v>
      </c>
      <c r="E306" s="5" t="s">
        <v>107</v>
      </c>
      <c r="F306" s="6">
        <v>0</v>
      </c>
    </row>
    <row r="307" spans="1:6" x14ac:dyDescent="0.3">
      <c r="A307" s="3">
        <v>44619</v>
      </c>
      <c r="B307" s="4" t="s">
        <v>16</v>
      </c>
      <c r="C307" s="5">
        <v>15</v>
      </c>
      <c r="D307" s="5" t="s">
        <v>108</v>
      </c>
      <c r="E307" s="5" t="s">
        <v>106</v>
      </c>
      <c r="F307" s="6">
        <v>0</v>
      </c>
    </row>
    <row r="308" spans="1:6" x14ac:dyDescent="0.3">
      <c r="A308" s="3">
        <v>44620</v>
      </c>
      <c r="B308" s="4" t="s">
        <v>83</v>
      </c>
      <c r="C308" s="5">
        <v>15</v>
      </c>
      <c r="D308" s="5" t="s">
        <v>108</v>
      </c>
      <c r="E308" s="5" t="s">
        <v>107</v>
      </c>
      <c r="F308" s="6">
        <v>0</v>
      </c>
    </row>
    <row r="309" spans="1:6" x14ac:dyDescent="0.3">
      <c r="A309" s="3">
        <v>44624</v>
      </c>
      <c r="B309" s="4" t="s">
        <v>60</v>
      </c>
      <c r="C309" s="5">
        <v>13</v>
      </c>
      <c r="D309" s="5" t="s">
        <v>105</v>
      </c>
      <c r="E309" s="5" t="s">
        <v>106</v>
      </c>
      <c r="F309" s="6">
        <v>0</v>
      </c>
    </row>
    <row r="310" spans="1:6" x14ac:dyDescent="0.3">
      <c r="A310" s="3">
        <v>44626</v>
      </c>
      <c r="B310" s="4" t="s">
        <v>14</v>
      </c>
      <c r="C310" s="5">
        <v>2</v>
      </c>
      <c r="D310" s="5" t="s">
        <v>108</v>
      </c>
      <c r="E310" s="5" t="s">
        <v>107</v>
      </c>
      <c r="F310" s="6">
        <v>0</v>
      </c>
    </row>
    <row r="311" spans="1:6" x14ac:dyDescent="0.3">
      <c r="A311" s="3">
        <v>44627</v>
      </c>
      <c r="B311" s="4" t="s">
        <v>12</v>
      </c>
      <c r="C311" s="5">
        <v>1</v>
      </c>
      <c r="D311" s="5" t="s">
        <v>108</v>
      </c>
      <c r="E311" s="5" t="s">
        <v>107</v>
      </c>
      <c r="F311" s="6">
        <v>0</v>
      </c>
    </row>
    <row r="312" spans="1:6" x14ac:dyDescent="0.3">
      <c r="A312" s="3">
        <v>44628</v>
      </c>
      <c r="B312" s="4" t="s">
        <v>98</v>
      </c>
      <c r="C312" s="5">
        <v>6</v>
      </c>
      <c r="D312" s="5" t="s">
        <v>108</v>
      </c>
      <c r="E312" s="5" t="s">
        <v>106</v>
      </c>
      <c r="F312" s="6">
        <v>0</v>
      </c>
    </row>
    <row r="313" spans="1:6" x14ac:dyDescent="0.3">
      <c r="A313" s="3">
        <v>44629</v>
      </c>
      <c r="B313" s="4" t="s">
        <v>69</v>
      </c>
      <c r="C313" s="5">
        <v>3</v>
      </c>
      <c r="D313" s="5" t="s">
        <v>108</v>
      </c>
      <c r="E313" s="5" t="s">
        <v>106</v>
      </c>
      <c r="F313" s="6">
        <v>0</v>
      </c>
    </row>
    <row r="314" spans="1:6" x14ac:dyDescent="0.3">
      <c r="A314" s="3">
        <v>44629</v>
      </c>
      <c r="B314" s="4" t="s">
        <v>14</v>
      </c>
      <c r="C314" s="5">
        <v>11</v>
      </c>
      <c r="D314" s="5" t="s">
        <v>106</v>
      </c>
      <c r="E314" s="5" t="s">
        <v>107</v>
      </c>
      <c r="F314" s="6">
        <v>0</v>
      </c>
    </row>
    <row r="315" spans="1:6" x14ac:dyDescent="0.3">
      <c r="A315" s="3">
        <v>44630</v>
      </c>
      <c r="B315" s="4" t="s">
        <v>75</v>
      </c>
      <c r="C315" s="5">
        <v>12</v>
      </c>
      <c r="D315" s="5" t="s">
        <v>105</v>
      </c>
      <c r="E315" s="5" t="s">
        <v>106</v>
      </c>
      <c r="F315" s="6">
        <v>0</v>
      </c>
    </row>
    <row r="316" spans="1:6" x14ac:dyDescent="0.3">
      <c r="A316" s="3">
        <v>44634</v>
      </c>
      <c r="B316" s="4" t="s">
        <v>39</v>
      </c>
      <c r="C316" s="5">
        <v>2</v>
      </c>
      <c r="D316" s="5" t="s">
        <v>108</v>
      </c>
      <c r="E316" s="5" t="s">
        <v>107</v>
      </c>
      <c r="F316" s="6">
        <v>0</v>
      </c>
    </row>
    <row r="317" spans="1:6" x14ac:dyDescent="0.3">
      <c r="A317" s="3">
        <v>44634</v>
      </c>
      <c r="B317" s="4" t="s">
        <v>60</v>
      </c>
      <c r="C317" s="5">
        <v>13</v>
      </c>
      <c r="D317" s="5" t="s">
        <v>108</v>
      </c>
      <c r="E317" s="5" t="s">
        <v>106</v>
      </c>
      <c r="F317" s="6">
        <v>0</v>
      </c>
    </row>
    <row r="318" spans="1:6" x14ac:dyDescent="0.3">
      <c r="A318" s="3">
        <v>44638</v>
      </c>
      <c r="B318" s="4" t="s">
        <v>45</v>
      </c>
      <c r="C318" s="5">
        <v>2</v>
      </c>
      <c r="D318" s="5" t="s">
        <v>106</v>
      </c>
      <c r="E318" s="5" t="s">
        <v>107</v>
      </c>
      <c r="F318" s="6">
        <v>0</v>
      </c>
    </row>
    <row r="319" spans="1:6" x14ac:dyDescent="0.3">
      <c r="A319" s="3">
        <v>44638</v>
      </c>
      <c r="B319" s="4" t="s">
        <v>63</v>
      </c>
      <c r="C319" s="5">
        <v>10</v>
      </c>
      <c r="D319" s="5" t="s">
        <v>108</v>
      </c>
      <c r="E319" s="5" t="s">
        <v>107</v>
      </c>
      <c r="F319" s="6">
        <v>0</v>
      </c>
    </row>
    <row r="320" spans="1:6" x14ac:dyDescent="0.3">
      <c r="A320" s="3">
        <v>44639</v>
      </c>
      <c r="B320" s="4" t="s">
        <v>92</v>
      </c>
      <c r="C320" s="5">
        <v>6</v>
      </c>
      <c r="D320" s="5" t="s">
        <v>105</v>
      </c>
      <c r="E320" s="5" t="s">
        <v>107</v>
      </c>
      <c r="F320" s="6">
        <v>0</v>
      </c>
    </row>
    <row r="321" spans="1:6" x14ac:dyDescent="0.3">
      <c r="A321" s="3">
        <v>44643</v>
      </c>
      <c r="B321" s="4" t="s">
        <v>73</v>
      </c>
      <c r="C321" s="5">
        <v>9</v>
      </c>
      <c r="D321" s="5" t="s">
        <v>108</v>
      </c>
      <c r="E321" s="5" t="s">
        <v>107</v>
      </c>
      <c r="F321" s="6">
        <v>0</v>
      </c>
    </row>
    <row r="322" spans="1:6" x14ac:dyDescent="0.3">
      <c r="A322" s="3">
        <v>44645</v>
      </c>
      <c r="B322" s="4" t="s">
        <v>6</v>
      </c>
      <c r="C322" s="5">
        <v>2</v>
      </c>
      <c r="D322" s="5" t="s">
        <v>105</v>
      </c>
      <c r="E322" s="5" t="s">
        <v>106</v>
      </c>
      <c r="F322" s="6">
        <v>0</v>
      </c>
    </row>
    <row r="323" spans="1:6" x14ac:dyDescent="0.3">
      <c r="A323" s="3">
        <v>44645</v>
      </c>
      <c r="B323" s="4" t="s">
        <v>69</v>
      </c>
      <c r="C323" s="5">
        <v>11</v>
      </c>
      <c r="D323" s="5" t="s">
        <v>108</v>
      </c>
      <c r="E323" s="5" t="s">
        <v>106</v>
      </c>
      <c r="F323" s="6">
        <v>0</v>
      </c>
    </row>
    <row r="324" spans="1:6" x14ac:dyDescent="0.3">
      <c r="A324" s="3">
        <v>44649</v>
      </c>
      <c r="B324" s="4" t="s">
        <v>73</v>
      </c>
      <c r="C324" s="5">
        <v>12</v>
      </c>
      <c r="D324" s="5" t="s">
        <v>106</v>
      </c>
      <c r="E324" s="5" t="s">
        <v>106</v>
      </c>
      <c r="F324" s="6">
        <v>0</v>
      </c>
    </row>
    <row r="325" spans="1:6" x14ac:dyDescent="0.3">
      <c r="A325" s="3">
        <v>44650</v>
      </c>
      <c r="B325" s="4" t="s">
        <v>6</v>
      </c>
      <c r="C325" s="5">
        <v>13</v>
      </c>
      <c r="D325" s="5" t="s">
        <v>106</v>
      </c>
      <c r="E325" s="5" t="s">
        <v>107</v>
      </c>
      <c r="F325" s="6">
        <v>0</v>
      </c>
    </row>
    <row r="326" spans="1:6" x14ac:dyDescent="0.3">
      <c r="A326" s="3">
        <v>44652</v>
      </c>
      <c r="B326" s="4" t="s">
        <v>10</v>
      </c>
      <c r="C326" s="5">
        <v>2</v>
      </c>
      <c r="D326" s="5" t="s">
        <v>106</v>
      </c>
      <c r="E326" s="5" t="s">
        <v>107</v>
      </c>
      <c r="F326" s="6">
        <v>0</v>
      </c>
    </row>
    <row r="327" spans="1:6" x14ac:dyDescent="0.3">
      <c r="A327" s="3">
        <v>44653</v>
      </c>
      <c r="B327" s="4" t="s">
        <v>10</v>
      </c>
      <c r="C327" s="5">
        <v>3</v>
      </c>
      <c r="D327" s="5" t="s">
        <v>108</v>
      </c>
      <c r="E327" s="5" t="s">
        <v>107</v>
      </c>
      <c r="F327" s="6">
        <v>0</v>
      </c>
    </row>
    <row r="328" spans="1:6" x14ac:dyDescent="0.3">
      <c r="A328" s="3">
        <v>44657</v>
      </c>
      <c r="B328" s="4" t="s">
        <v>90</v>
      </c>
      <c r="C328" s="5">
        <v>2</v>
      </c>
      <c r="D328" s="5" t="s">
        <v>105</v>
      </c>
      <c r="E328" s="5" t="s">
        <v>107</v>
      </c>
      <c r="F328" s="6">
        <v>0</v>
      </c>
    </row>
    <row r="329" spans="1:6" x14ac:dyDescent="0.3">
      <c r="A329" s="3">
        <v>44658</v>
      </c>
      <c r="B329" s="4" t="s">
        <v>60</v>
      </c>
      <c r="C329" s="5">
        <v>7</v>
      </c>
      <c r="D329" s="5" t="s">
        <v>108</v>
      </c>
      <c r="E329" s="5" t="s">
        <v>106</v>
      </c>
      <c r="F329" s="6">
        <v>0</v>
      </c>
    </row>
    <row r="330" spans="1:6" x14ac:dyDescent="0.3">
      <c r="A330" s="3">
        <v>44660</v>
      </c>
      <c r="B330" s="4" t="s">
        <v>88</v>
      </c>
      <c r="C330" s="5">
        <v>12</v>
      </c>
      <c r="D330" s="5" t="s">
        <v>105</v>
      </c>
      <c r="E330" s="5" t="s">
        <v>107</v>
      </c>
      <c r="F330" s="6">
        <v>0</v>
      </c>
    </row>
    <row r="331" spans="1:6" x14ac:dyDescent="0.3">
      <c r="A331" s="3">
        <v>44660</v>
      </c>
      <c r="B331" s="4" t="s">
        <v>10</v>
      </c>
      <c r="C331" s="5">
        <v>9</v>
      </c>
      <c r="D331" s="5" t="s">
        <v>106</v>
      </c>
      <c r="E331" s="5" t="s">
        <v>106</v>
      </c>
      <c r="F331" s="6">
        <v>0</v>
      </c>
    </row>
    <row r="332" spans="1:6" x14ac:dyDescent="0.3">
      <c r="A332" s="3">
        <v>44664</v>
      </c>
      <c r="B332" s="4" t="s">
        <v>39</v>
      </c>
      <c r="C332" s="5">
        <v>14</v>
      </c>
      <c r="D332" s="5" t="s">
        <v>105</v>
      </c>
      <c r="E332" s="5" t="s">
        <v>106</v>
      </c>
      <c r="F332" s="6">
        <v>0</v>
      </c>
    </row>
    <row r="333" spans="1:6" x14ac:dyDescent="0.3">
      <c r="A333" s="3">
        <v>44669</v>
      </c>
      <c r="B333" s="4" t="s">
        <v>92</v>
      </c>
      <c r="C333" s="5">
        <v>9</v>
      </c>
      <c r="D333" s="5" t="s">
        <v>108</v>
      </c>
      <c r="E333" s="5" t="s">
        <v>107</v>
      </c>
      <c r="F333" s="6">
        <v>0</v>
      </c>
    </row>
    <row r="334" spans="1:6" x14ac:dyDescent="0.3">
      <c r="A334" s="3">
        <v>44671</v>
      </c>
      <c r="B334" s="4" t="s">
        <v>43</v>
      </c>
      <c r="C334" s="5">
        <v>2</v>
      </c>
      <c r="D334" s="5" t="s">
        <v>105</v>
      </c>
      <c r="E334" s="5" t="s">
        <v>106</v>
      </c>
      <c r="F334" s="6">
        <v>0</v>
      </c>
    </row>
    <row r="335" spans="1:6" x14ac:dyDescent="0.3">
      <c r="A335" s="3">
        <v>44671</v>
      </c>
      <c r="B335" s="4" t="s">
        <v>31</v>
      </c>
      <c r="C335" s="5">
        <v>4</v>
      </c>
      <c r="D335" s="5" t="s">
        <v>108</v>
      </c>
      <c r="E335" s="5" t="s">
        <v>106</v>
      </c>
      <c r="F335" s="6">
        <v>0</v>
      </c>
    </row>
    <row r="336" spans="1:6" x14ac:dyDescent="0.3">
      <c r="A336" s="3">
        <v>44672</v>
      </c>
      <c r="B336" s="4" t="s">
        <v>69</v>
      </c>
      <c r="C336" s="5">
        <v>2</v>
      </c>
      <c r="D336" s="5" t="s">
        <v>108</v>
      </c>
      <c r="E336" s="5" t="s">
        <v>107</v>
      </c>
      <c r="F336" s="6">
        <v>0</v>
      </c>
    </row>
    <row r="337" spans="1:6" x14ac:dyDescent="0.3">
      <c r="A337" s="3">
        <v>44672</v>
      </c>
      <c r="B337" s="4" t="s">
        <v>60</v>
      </c>
      <c r="C337" s="5">
        <v>14</v>
      </c>
      <c r="D337" s="5" t="s">
        <v>106</v>
      </c>
      <c r="E337" s="5" t="s">
        <v>106</v>
      </c>
      <c r="F337" s="6">
        <v>0</v>
      </c>
    </row>
    <row r="338" spans="1:6" x14ac:dyDescent="0.3">
      <c r="A338" s="3">
        <v>44674</v>
      </c>
      <c r="B338" s="4" t="s">
        <v>98</v>
      </c>
      <c r="C338" s="5">
        <v>15</v>
      </c>
      <c r="D338" s="5" t="s">
        <v>106</v>
      </c>
      <c r="E338" s="5" t="s">
        <v>106</v>
      </c>
      <c r="F338" s="6">
        <v>0</v>
      </c>
    </row>
    <row r="339" spans="1:6" x14ac:dyDescent="0.3">
      <c r="A339" s="3">
        <v>44675</v>
      </c>
      <c r="B339" s="4" t="s">
        <v>77</v>
      </c>
      <c r="C339" s="5">
        <v>4</v>
      </c>
      <c r="D339" s="5" t="s">
        <v>108</v>
      </c>
      <c r="E339" s="5" t="s">
        <v>106</v>
      </c>
      <c r="F339" s="6">
        <v>0</v>
      </c>
    </row>
    <row r="340" spans="1:6" x14ac:dyDescent="0.3">
      <c r="A340" s="3">
        <v>44676</v>
      </c>
      <c r="B340" s="4" t="s">
        <v>14</v>
      </c>
      <c r="C340" s="5">
        <v>9</v>
      </c>
      <c r="D340" s="5" t="s">
        <v>108</v>
      </c>
      <c r="E340" s="5" t="s">
        <v>107</v>
      </c>
      <c r="F340" s="6">
        <v>0</v>
      </c>
    </row>
    <row r="341" spans="1:6" x14ac:dyDescent="0.3">
      <c r="A341" s="3">
        <v>44676</v>
      </c>
      <c r="B341" s="4" t="s">
        <v>12</v>
      </c>
      <c r="C341" s="5">
        <v>8</v>
      </c>
      <c r="D341" s="5" t="s">
        <v>106</v>
      </c>
      <c r="E341" s="5" t="s">
        <v>106</v>
      </c>
      <c r="F341" s="6">
        <v>0</v>
      </c>
    </row>
    <row r="342" spans="1:6" x14ac:dyDescent="0.3">
      <c r="A342" s="3">
        <v>44677</v>
      </c>
      <c r="B342" s="4" t="s">
        <v>63</v>
      </c>
      <c r="C342" s="5">
        <v>2</v>
      </c>
      <c r="D342" s="5" t="s">
        <v>108</v>
      </c>
      <c r="E342" s="5" t="s">
        <v>107</v>
      </c>
      <c r="F342" s="6">
        <v>0</v>
      </c>
    </row>
    <row r="343" spans="1:6" x14ac:dyDescent="0.3">
      <c r="A343" s="3">
        <v>44679</v>
      </c>
      <c r="B343" s="4" t="s">
        <v>35</v>
      </c>
      <c r="C343" s="5">
        <v>14</v>
      </c>
      <c r="D343" s="5" t="s">
        <v>108</v>
      </c>
      <c r="E343" s="5" t="s">
        <v>107</v>
      </c>
      <c r="F343" s="6">
        <v>0</v>
      </c>
    </row>
    <row r="344" spans="1:6" x14ac:dyDescent="0.3">
      <c r="A344" s="3">
        <v>44681</v>
      </c>
      <c r="B344" s="4" t="s">
        <v>39</v>
      </c>
      <c r="C344" s="5">
        <v>13</v>
      </c>
      <c r="D344" s="5" t="s">
        <v>106</v>
      </c>
      <c r="E344" s="5" t="s">
        <v>106</v>
      </c>
      <c r="F344" s="6">
        <v>0</v>
      </c>
    </row>
    <row r="345" spans="1:6" x14ac:dyDescent="0.3">
      <c r="A345" s="3">
        <v>44681</v>
      </c>
      <c r="B345" s="4" t="s">
        <v>63</v>
      </c>
      <c r="C345" s="5">
        <v>8</v>
      </c>
      <c r="D345" s="5" t="s">
        <v>108</v>
      </c>
      <c r="E345" s="5" t="s">
        <v>106</v>
      </c>
      <c r="F345" s="6">
        <v>0</v>
      </c>
    </row>
    <row r="346" spans="1:6" x14ac:dyDescent="0.3">
      <c r="A346" s="3">
        <v>44682</v>
      </c>
      <c r="B346" s="4" t="s">
        <v>77</v>
      </c>
      <c r="C346" s="5">
        <v>9</v>
      </c>
      <c r="D346" s="5" t="s">
        <v>105</v>
      </c>
      <c r="E346" s="5" t="s">
        <v>106</v>
      </c>
      <c r="F346" s="6">
        <v>0</v>
      </c>
    </row>
    <row r="347" spans="1:6" x14ac:dyDescent="0.3">
      <c r="A347" s="3">
        <v>44682</v>
      </c>
      <c r="B347" s="4" t="s">
        <v>75</v>
      </c>
      <c r="C347" s="5">
        <v>6</v>
      </c>
      <c r="D347" s="5" t="s">
        <v>106</v>
      </c>
      <c r="E347" s="5" t="s">
        <v>106</v>
      </c>
      <c r="F347" s="6">
        <v>0</v>
      </c>
    </row>
    <row r="348" spans="1:6" x14ac:dyDescent="0.3">
      <c r="A348" s="3">
        <v>44683</v>
      </c>
      <c r="B348" s="4" t="s">
        <v>33</v>
      </c>
      <c r="C348" s="5">
        <v>4</v>
      </c>
      <c r="D348" s="5" t="s">
        <v>106</v>
      </c>
      <c r="E348" s="5" t="s">
        <v>107</v>
      </c>
      <c r="F348" s="6">
        <v>0</v>
      </c>
    </row>
    <row r="349" spans="1:6" x14ac:dyDescent="0.3">
      <c r="A349" s="3">
        <v>44685</v>
      </c>
      <c r="B349" s="4" t="s">
        <v>47</v>
      </c>
      <c r="C349" s="5">
        <v>10</v>
      </c>
      <c r="D349" s="5" t="s">
        <v>108</v>
      </c>
      <c r="E349" s="5" t="s">
        <v>106</v>
      </c>
      <c r="F349" s="6">
        <v>0</v>
      </c>
    </row>
    <row r="350" spans="1:6" x14ac:dyDescent="0.3">
      <c r="A350" s="3">
        <v>44687</v>
      </c>
      <c r="B350" s="4" t="s">
        <v>77</v>
      </c>
      <c r="C350" s="5">
        <v>7</v>
      </c>
      <c r="D350" s="5" t="s">
        <v>108</v>
      </c>
      <c r="E350" s="5" t="s">
        <v>106</v>
      </c>
      <c r="F350" s="6">
        <v>0</v>
      </c>
    </row>
    <row r="351" spans="1:6" x14ac:dyDescent="0.3">
      <c r="A351" s="3">
        <v>44688</v>
      </c>
      <c r="B351" s="4" t="s">
        <v>37</v>
      </c>
      <c r="C351" s="5">
        <v>4</v>
      </c>
      <c r="D351" s="5" t="s">
        <v>106</v>
      </c>
      <c r="E351" s="5" t="s">
        <v>107</v>
      </c>
      <c r="F351" s="6">
        <v>0</v>
      </c>
    </row>
    <row r="352" spans="1:6" x14ac:dyDescent="0.3">
      <c r="A352" s="3">
        <v>44688</v>
      </c>
      <c r="B352" s="4" t="s">
        <v>63</v>
      </c>
      <c r="C352" s="5">
        <v>1</v>
      </c>
      <c r="D352" s="5" t="s">
        <v>106</v>
      </c>
      <c r="E352" s="5" t="s">
        <v>106</v>
      </c>
      <c r="F352" s="6">
        <v>0</v>
      </c>
    </row>
    <row r="353" spans="1:6" x14ac:dyDescent="0.3">
      <c r="A353" s="3">
        <v>44689</v>
      </c>
      <c r="B353" s="4" t="s">
        <v>52</v>
      </c>
      <c r="C353" s="5">
        <v>7</v>
      </c>
      <c r="D353" s="5" t="s">
        <v>106</v>
      </c>
      <c r="E353" s="5" t="s">
        <v>106</v>
      </c>
      <c r="F353" s="6">
        <v>0</v>
      </c>
    </row>
    <row r="354" spans="1:6" x14ac:dyDescent="0.3">
      <c r="A354" s="3">
        <v>44690</v>
      </c>
      <c r="B354" s="4" t="s">
        <v>41</v>
      </c>
      <c r="C354" s="5">
        <v>12</v>
      </c>
      <c r="D354" s="5" t="s">
        <v>105</v>
      </c>
      <c r="E354" s="5" t="s">
        <v>107</v>
      </c>
      <c r="F354" s="6">
        <v>0</v>
      </c>
    </row>
    <row r="355" spans="1:6" x14ac:dyDescent="0.3">
      <c r="A355" s="3">
        <v>44691</v>
      </c>
      <c r="B355" s="4" t="s">
        <v>24</v>
      </c>
      <c r="C355" s="5">
        <v>6</v>
      </c>
      <c r="D355" s="5" t="s">
        <v>108</v>
      </c>
      <c r="E355" s="5" t="s">
        <v>106</v>
      </c>
      <c r="F355" s="6">
        <v>0</v>
      </c>
    </row>
    <row r="356" spans="1:6" x14ac:dyDescent="0.3">
      <c r="A356" s="3">
        <v>44693</v>
      </c>
      <c r="B356" s="4" t="s">
        <v>29</v>
      </c>
      <c r="C356" s="5">
        <v>7</v>
      </c>
      <c r="D356" s="5" t="s">
        <v>106</v>
      </c>
      <c r="E356" s="5" t="s">
        <v>107</v>
      </c>
      <c r="F356" s="6">
        <v>0</v>
      </c>
    </row>
    <row r="357" spans="1:6" x14ac:dyDescent="0.3">
      <c r="A357" s="3">
        <v>44694</v>
      </c>
      <c r="B357" s="4" t="s">
        <v>31</v>
      </c>
      <c r="C357" s="5">
        <v>5</v>
      </c>
      <c r="D357" s="5" t="s">
        <v>108</v>
      </c>
      <c r="E357" s="5" t="s">
        <v>106</v>
      </c>
      <c r="F357" s="6">
        <v>0</v>
      </c>
    </row>
    <row r="358" spans="1:6" x14ac:dyDescent="0.3">
      <c r="A358" s="3">
        <v>44695</v>
      </c>
      <c r="B358" s="4" t="s">
        <v>22</v>
      </c>
      <c r="C358" s="5">
        <v>14</v>
      </c>
      <c r="D358" s="5" t="s">
        <v>108</v>
      </c>
      <c r="E358" s="5" t="s">
        <v>107</v>
      </c>
      <c r="F358" s="6">
        <v>0</v>
      </c>
    </row>
    <row r="359" spans="1:6" x14ac:dyDescent="0.3">
      <c r="A359" s="3">
        <v>44696</v>
      </c>
      <c r="B359" s="4" t="s">
        <v>47</v>
      </c>
      <c r="C359" s="5">
        <v>5</v>
      </c>
      <c r="D359" s="5" t="s">
        <v>106</v>
      </c>
      <c r="E359" s="5" t="s">
        <v>106</v>
      </c>
      <c r="F359" s="6">
        <v>0</v>
      </c>
    </row>
    <row r="360" spans="1:6" x14ac:dyDescent="0.3">
      <c r="A360" s="3">
        <v>44697</v>
      </c>
      <c r="B360" s="4" t="s">
        <v>26</v>
      </c>
      <c r="C360" s="5">
        <v>13</v>
      </c>
      <c r="D360" s="5" t="s">
        <v>108</v>
      </c>
      <c r="E360" s="5" t="s">
        <v>107</v>
      </c>
      <c r="F360" s="6">
        <v>0</v>
      </c>
    </row>
    <row r="361" spans="1:6" x14ac:dyDescent="0.3">
      <c r="A361" s="3">
        <v>44697</v>
      </c>
      <c r="B361" s="4" t="s">
        <v>71</v>
      </c>
      <c r="C361" s="5">
        <v>13</v>
      </c>
      <c r="D361" s="5" t="s">
        <v>106</v>
      </c>
      <c r="E361" s="5" t="s">
        <v>106</v>
      </c>
      <c r="F361" s="6">
        <v>0</v>
      </c>
    </row>
    <row r="362" spans="1:6" x14ac:dyDescent="0.3">
      <c r="A362" s="3">
        <v>44698</v>
      </c>
      <c r="B362" s="4" t="s">
        <v>63</v>
      </c>
      <c r="C362" s="5">
        <v>8</v>
      </c>
      <c r="D362" s="5" t="s">
        <v>108</v>
      </c>
      <c r="E362" s="5" t="s">
        <v>107</v>
      </c>
      <c r="F362" s="6">
        <v>0</v>
      </c>
    </row>
    <row r="363" spans="1:6" x14ac:dyDescent="0.3">
      <c r="A363" s="3">
        <v>44699</v>
      </c>
      <c r="B363" s="4" t="s">
        <v>63</v>
      </c>
      <c r="C363" s="5">
        <v>4</v>
      </c>
      <c r="D363" s="5" t="s">
        <v>105</v>
      </c>
      <c r="E363" s="5" t="s">
        <v>106</v>
      </c>
      <c r="F363" s="6">
        <v>0</v>
      </c>
    </row>
    <row r="364" spans="1:6" x14ac:dyDescent="0.3">
      <c r="A364" s="3">
        <v>44699</v>
      </c>
      <c r="B364" s="4" t="s">
        <v>86</v>
      </c>
      <c r="C364" s="5">
        <v>8</v>
      </c>
      <c r="D364" s="5" t="s">
        <v>105</v>
      </c>
      <c r="E364" s="5" t="s">
        <v>106</v>
      </c>
      <c r="F364" s="6">
        <v>0</v>
      </c>
    </row>
    <row r="365" spans="1:6" x14ac:dyDescent="0.3">
      <c r="A365" s="3">
        <v>44701</v>
      </c>
      <c r="B365" s="4" t="s">
        <v>98</v>
      </c>
      <c r="C365" s="5">
        <v>15</v>
      </c>
      <c r="D365" s="5" t="s">
        <v>106</v>
      </c>
      <c r="E365" s="5" t="s">
        <v>107</v>
      </c>
      <c r="F365" s="6">
        <v>0</v>
      </c>
    </row>
    <row r="366" spans="1:6" x14ac:dyDescent="0.3">
      <c r="A366" s="3">
        <v>44703</v>
      </c>
      <c r="B366" s="4" t="s">
        <v>37</v>
      </c>
      <c r="C366" s="5">
        <v>12</v>
      </c>
      <c r="D366" s="5" t="s">
        <v>108</v>
      </c>
      <c r="E366" s="5" t="s">
        <v>106</v>
      </c>
      <c r="F366" s="6">
        <v>0</v>
      </c>
    </row>
    <row r="367" spans="1:6" x14ac:dyDescent="0.3">
      <c r="A367" s="3">
        <v>44706</v>
      </c>
      <c r="B367" s="4" t="s">
        <v>10</v>
      </c>
      <c r="C367" s="5">
        <v>7</v>
      </c>
      <c r="D367" s="5" t="s">
        <v>106</v>
      </c>
      <c r="E367" s="5" t="s">
        <v>106</v>
      </c>
      <c r="F367" s="6">
        <v>0</v>
      </c>
    </row>
    <row r="368" spans="1:6" x14ac:dyDescent="0.3">
      <c r="A368" s="3">
        <v>44707</v>
      </c>
      <c r="B368" s="4" t="s">
        <v>65</v>
      </c>
      <c r="C368" s="5">
        <v>2</v>
      </c>
      <c r="D368" s="5" t="s">
        <v>108</v>
      </c>
      <c r="E368" s="5" t="s">
        <v>106</v>
      </c>
      <c r="F368" s="6">
        <v>0</v>
      </c>
    </row>
    <row r="369" spans="1:6" x14ac:dyDescent="0.3">
      <c r="A369" s="3">
        <v>44707</v>
      </c>
      <c r="B369" s="4" t="s">
        <v>63</v>
      </c>
      <c r="C369" s="5">
        <v>2</v>
      </c>
      <c r="D369" s="5" t="s">
        <v>106</v>
      </c>
      <c r="E369" s="5" t="s">
        <v>106</v>
      </c>
      <c r="F369" s="6">
        <v>0</v>
      </c>
    </row>
    <row r="370" spans="1:6" x14ac:dyDescent="0.3">
      <c r="A370" s="3">
        <v>44709</v>
      </c>
      <c r="B370" s="4" t="s">
        <v>92</v>
      </c>
      <c r="C370" s="5">
        <v>10</v>
      </c>
      <c r="D370" s="5" t="s">
        <v>105</v>
      </c>
      <c r="E370" s="5" t="s">
        <v>107</v>
      </c>
      <c r="F370" s="6">
        <v>0</v>
      </c>
    </row>
    <row r="371" spans="1:6" x14ac:dyDescent="0.3">
      <c r="A371" s="3">
        <v>44709</v>
      </c>
      <c r="B371" s="4" t="s">
        <v>22</v>
      </c>
      <c r="C371" s="5">
        <v>5</v>
      </c>
      <c r="D371" s="5" t="s">
        <v>105</v>
      </c>
      <c r="E371" s="5" t="s">
        <v>106</v>
      </c>
      <c r="F371" s="6">
        <v>0</v>
      </c>
    </row>
    <row r="372" spans="1:6" x14ac:dyDescent="0.3">
      <c r="A372" s="3">
        <v>44709</v>
      </c>
      <c r="B372" s="4" t="s">
        <v>26</v>
      </c>
      <c r="C372" s="5">
        <v>9</v>
      </c>
      <c r="D372" s="5" t="s">
        <v>106</v>
      </c>
      <c r="E372" s="5" t="s">
        <v>107</v>
      </c>
      <c r="F372" s="6">
        <v>0</v>
      </c>
    </row>
    <row r="373" spans="1:6" x14ac:dyDescent="0.3">
      <c r="A373" s="3">
        <v>44709</v>
      </c>
      <c r="B373" s="4" t="s">
        <v>14</v>
      </c>
      <c r="C373" s="5">
        <v>12</v>
      </c>
      <c r="D373" s="5" t="s">
        <v>106</v>
      </c>
      <c r="E373" s="5" t="s">
        <v>106</v>
      </c>
      <c r="F373" s="6">
        <v>0</v>
      </c>
    </row>
    <row r="374" spans="1:6" x14ac:dyDescent="0.3">
      <c r="A374" s="3">
        <v>44709</v>
      </c>
      <c r="B374" s="4" t="s">
        <v>47</v>
      </c>
      <c r="C374" s="5">
        <v>14</v>
      </c>
      <c r="D374" s="5" t="s">
        <v>108</v>
      </c>
      <c r="E374" s="5" t="s">
        <v>107</v>
      </c>
      <c r="F374" s="6">
        <v>0</v>
      </c>
    </row>
    <row r="375" spans="1:6" x14ac:dyDescent="0.3">
      <c r="A375" s="3">
        <v>44711</v>
      </c>
      <c r="B375" s="4" t="s">
        <v>98</v>
      </c>
      <c r="C375" s="5">
        <v>9</v>
      </c>
      <c r="D375" s="5" t="s">
        <v>108</v>
      </c>
      <c r="E375" s="5" t="s">
        <v>106</v>
      </c>
      <c r="F375" s="6">
        <v>0</v>
      </c>
    </row>
    <row r="376" spans="1:6" x14ac:dyDescent="0.3">
      <c r="A376" s="3">
        <v>44711</v>
      </c>
      <c r="B376" s="4" t="s">
        <v>16</v>
      </c>
      <c r="C376" s="5">
        <v>4</v>
      </c>
      <c r="D376" s="5" t="s">
        <v>105</v>
      </c>
      <c r="E376" s="5" t="s">
        <v>107</v>
      </c>
      <c r="F376" s="6">
        <v>0</v>
      </c>
    </row>
    <row r="377" spans="1:6" x14ac:dyDescent="0.3">
      <c r="A377" s="3">
        <v>44711</v>
      </c>
      <c r="B377" s="4" t="s">
        <v>75</v>
      </c>
      <c r="C377" s="5">
        <v>3</v>
      </c>
      <c r="D377" s="5" t="s">
        <v>106</v>
      </c>
      <c r="E377" s="5" t="s">
        <v>107</v>
      </c>
      <c r="F377" s="6">
        <v>0</v>
      </c>
    </row>
    <row r="378" spans="1:6" x14ac:dyDescent="0.3">
      <c r="A378" s="3">
        <v>44715</v>
      </c>
      <c r="B378" s="4" t="s">
        <v>22</v>
      </c>
      <c r="C378" s="5">
        <v>14</v>
      </c>
      <c r="D378" s="5" t="s">
        <v>106</v>
      </c>
      <c r="E378" s="5" t="s">
        <v>106</v>
      </c>
      <c r="F378" s="6">
        <v>0</v>
      </c>
    </row>
    <row r="379" spans="1:6" x14ac:dyDescent="0.3">
      <c r="A379" s="3">
        <v>44722</v>
      </c>
      <c r="B379" s="4" t="s">
        <v>65</v>
      </c>
      <c r="C379" s="5">
        <v>8</v>
      </c>
      <c r="D379" s="5" t="s">
        <v>105</v>
      </c>
      <c r="E379" s="5" t="s">
        <v>106</v>
      </c>
      <c r="F379" s="6">
        <v>0</v>
      </c>
    </row>
    <row r="380" spans="1:6" x14ac:dyDescent="0.3">
      <c r="A380" s="3">
        <v>44723</v>
      </c>
      <c r="B380" s="4" t="s">
        <v>88</v>
      </c>
      <c r="C380" s="5">
        <v>13</v>
      </c>
      <c r="D380" s="5" t="s">
        <v>106</v>
      </c>
      <c r="E380" s="5" t="s">
        <v>107</v>
      </c>
      <c r="F380" s="6">
        <v>0</v>
      </c>
    </row>
    <row r="381" spans="1:6" x14ac:dyDescent="0.3">
      <c r="A381" s="3">
        <v>44723</v>
      </c>
      <c r="B381" s="4" t="s">
        <v>50</v>
      </c>
      <c r="C381" s="5">
        <v>6</v>
      </c>
      <c r="D381" s="5" t="s">
        <v>108</v>
      </c>
      <c r="E381" s="5" t="s">
        <v>106</v>
      </c>
      <c r="F381" s="6">
        <v>0</v>
      </c>
    </row>
    <row r="382" spans="1:6" x14ac:dyDescent="0.3">
      <c r="A382" s="3">
        <v>44725</v>
      </c>
      <c r="B382" s="4" t="s">
        <v>60</v>
      </c>
      <c r="C382" s="5">
        <v>6</v>
      </c>
      <c r="D382" s="5" t="s">
        <v>108</v>
      </c>
      <c r="E382" s="5" t="s">
        <v>107</v>
      </c>
      <c r="F382" s="6">
        <v>0</v>
      </c>
    </row>
    <row r="383" spans="1:6" x14ac:dyDescent="0.3">
      <c r="A383" s="3">
        <v>44727</v>
      </c>
      <c r="B383" s="4" t="s">
        <v>94</v>
      </c>
      <c r="C383" s="5">
        <v>15</v>
      </c>
      <c r="D383" s="5" t="s">
        <v>105</v>
      </c>
      <c r="E383" s="5" t="s">
        <v>106</v>
      </c>
      <c r="F383" s="6">
        <v>0</v>
      </c>
    </row>
    <row r="384" spans="1:6" x14ac:dyDescent="0.3">
      <c r="A384" s="3">
        <v>44728</v>
      </c>
      <c r="B384" s="4" t="s">
        <v>67</v>
      </c>
      <c r="C384" s="5">
        <v>15</v>
      </c>
      <c r="D384" s="5" t="s">
        <v>106</v>
      </c>
      <c r="E384" s="5" t="s">
        <v>107</v>
      </c>
      <c r="F384" s="6">
        <v>0</v>
      </c>
    </row>
    <row r="385" spans="1:6" x14ac:dyDescent="0.3">
      <c r="A385" s="3">
        <v>44731</v>
      </c>
      <c r="B385" s="4" t="s">
        <v>10</v>
      </c>
      <c r="C385" s="5">
        <v>8</v>
      </c>
      <c r="D385" s="5" t="s">
        <v>108</v>
      </c>
      <c r="E385" s="5" t="s">
        <v>107</v>
      </c>
      <c r="F385" s="6">
        <v>0</v>
      </c>
    </row>
    <row r="386" spans="1:6" x14ac:dyDescent="0.3">
      <c r="A386" s="3">
        <v>44733</v>
      </c>
      <c r="B386" s="4" t="s">
        <v>41</v>
      </c>
      <c r="C386" s="5">
        <v>14</v>
      </c>
      <c r="D386" s="5" t="s">
        <v>108</v>
      </c>
      <c r="E386" s="5" t="s">
        <v>107</v>
      </c>
      <c r="F386" s="6">
        <v>0</v>
      </c>
    </row>
    <row r="387" spans="1:6" x14ac:dyDescent="0.3">
      <c r="A387" s="3">
        <v>44734</v>
      </c>
      <c r="B387" s="4" t="s">
        <v>90</v>
      </c>
      <c r="C387" s="5">
        <v>10</v>
      </c>
      <c r="D387" s="5" t="s">
        <v>106</v>
      </c>
      <c r="E387" s="5" t="s">
        <v>107</v>
      </c>
      <c r="F387" s="6">
        <v>0</v>
      </c>
    </row>
    <row r="388" spans="1:6" x14ac:dyDescent="0.3">
      <c r="A388" s="3">
        <v>44734</v>
      </c>
      <c r="B388" s="4" t="s">
        <v>6</v>
      </c>
      <c r="C388" s="5">
        <v>4</v>
      </c>
      <c r="D388" s="5" t="s">
        <v>108</v>
      </c>
      <c r="E388" s="5" t="s">
        <v>107</v>
      </c>
      <c r="F388" s="6">
        <v>0</v>
      </c>
    </row>
    <row r="389" spans="1:6" x14ac:dyDescent="0.3">
      <c r="A389" s="3">
        <v>44735</v>
      </c>
      <c r="B389" s="4" t="s">
        <v>14</v>
      </c>
      <c r="C389" s="5">
        <v>8</v>
      </c>
      <c r="D389" s="5" t="s">
        <v>108</v>
      </c>
      <c r="E389" s="5" t="s">
        <v>106</v>
      </c>
      <c r="F389" s="6">
        <v>0</v>
      </c>
    </row>
    <row r="390" spans="1:6" x14ac:dyDescent="0.3">
      <c r="A390" s="3">
        <v>44736</v>
      </c>
      <c r="B390" s="4" t="s">
        <v>43</v>
      </c>
      <c r="C390" s="5">
        <v>7</v>
      </c>
      <c r="D390" s="5" t="s">
        <v>108</v>
      </c>
      <c r="E390" s="5" t="s">
        <v>107</v>
      </c>
      <c r="F390" s="6">
        <v>0</v>
      </c>
    </row>
    <row r="391" spans="1:6" x14ac:dyDescent="0.3">
      <c r="A391" s="3">
        <v>44737</v>
      </c>
      <c r="B391" s="4" t="s">
        <v>31</v>
      </c>
      <c r="C391" s="5">
        <v>7</v>
      </c>
      <c r="D391" s="5" t="s">
        <v>106</v>
      </c>
      <c r="E391" s="5" t="s">
        <v>106</v>
      </c>
      <c r="F391" s="6">
        <v>0</v>
      </c>
    </row>
    <row r="392" spans="1:6" x14ac:dyDescent="0.3">
      <c r="A392" s="3">
        <v>44738</v>
      </c>
      <c r="B392" s="4" t="s">
        <v>77</v>
      </c>
      <c r="C392" s="5">
        <v>4</v>
      </c>
      <c r="D392" s="5" t="s">
        <v>108</v>
      </c>
      <c r="E392" s="5" t="s">
        <v>107</v>
      </c>
      <c r="F392" s="6">
        <v>0</v>
      </c>
    </row>
    <row r="393" spans="1:6" x14ac:dyDescent="0.3">
      <c r="A393" s="3">
        <v>44738</v>
      </c>
      <c r="B393" s="4" t="s">
        <v>96</v>
      </c>
      <c r="C393" s="5">
        <v>12</v>
      </c>
      <c r="D393" s="5" t="s">
        <v>108</v>
      </c>
      <c r="E393" s="5" t="s">
        <v>106</v>
      </c>
      <c r="F393" s="6">
        <v>0</v>
      </c>
    </row>
    <row r="394" spans="1:6" x14ac:dyDescent="0.3">
      <c r="A394" s="3">
        <v>44745</v>
      </c>
      <c r="B394" s="4" t="s">
        <v>75</v>
      </c>
      <c r="C394" s="5">
        <v>15</v>
      </c>
      <c r="D394" s="5" t="s">
        <v>108</v>
      </c>
      <c r="E394" s="5" t="s">
        <v>107</v>
      </c>
      <c r="F394" s="6">
        <v>0</v>
      </c>
    </row>
    <row r="395" spans="1:6" x14ac:dyDescent="0.3">
      <c r="A395" s="3">
        <v>44746</v>
      </c>
      <c r="B395" s="4" t="s">
        <v>20</v>
      </c>
      <c r="C395" s="5">
        <v>7</v>
      </c>
      <c r="D395" s="5" t="s">
        <v>108</v>
      </c>
      <c r="E395" s="5" t="s">
        <v>106</v>
      </c>
      <c r="F395" s="6">
        <v>0</v>
      </c>
    </row>
    <row r="396" spans="1:6" x14ac:dyDescent="0.3">
      <c r="A396" s="3">
        <v>44747</v>
      </c>
      <c r="B396" s="4" t="s">
        <v>58</v>
      </c>
      <c r="C396" s="5">
        <v>7</v>
      </c>
      <c r="D396" s="5" t="s">
        <v>106</v>
      </c>
      <c r="E396" s="5" t="s">
        <v>107</v>
      </c>
      <c r="F396" s="6">
        <v>0</v>
      </c>
    </row>
    <row r="397" spans="1:6" x14ac:dyDescent="0.3">
      <c r="A397" s="3">
        <v>44747</v>
      </c>
      <c r="B397" s="4" t="s">
        <v>37</v>
      </c>
      <c r="C397" s="5">
        <v>8</v>
      </c>
      <c r="D397" s="5" t="s">
        <v>108</v>
      </c>
      <c r="E397" s="5" t="s">
        <v>106</v>
      </c>
      <c r="F397" s="6">
        <v>0</v>
      </c>
    </row>
    <row r="398" spans="1:6" x14ac:dyDescent="0.3">
      <c r="A398" s="3">
        <v>44748</v>
      </c>
      <c r="B398" s="4" t="s">
        <v>92</v>
      </c>
      <c r="C398" s="5">
        <v>2</v>
      </c>
      <c r="D398" s="5" t="s">
        <v>108</v>
      </c>
      <c r="E398" s="5" t="s">
        <v>107</v>
      </c>
      <c r="F398" s="6">
        <v>0</v>
      </c>
    </row>
    <row r="399" spans="1:6" x14ac:dyDescent="0.3">
      <c r="A399" s="3">
        <v>44750</v>
      </c>
      <c r="B399" s="4" t="s">
        <v>43</v>
      </c>
      <c r="C399" s="5">
        <v>2</v>
      </c>
      <c r="D399" s="5" t="s">
        <v>108</v>
      </c>
      <c r="E399" s="5" t="s">
        <v>106</v>
      </c>
      <c r="F399" s="6">
        <v>0</v>
      </c>
    </row>
    <row r="400" spans="1:6" x14ac:dyDescent="0.3">
      <c r="A400" s="3">
        <v>44752</v>
      </c>
      <c r="B400" s="4" t="s">
        <v>73</v>
      </c>
      <c r="C400" s="5">
        <v>12</v>
      </c>
      <c r="D400" s="5" t="s">
        <v>106</v>
      </c>
      <c r="E400" s="5" t="s">
        <v>107</v>
      </c>
      <c r="F400" s="6">
        <v>0</v>
      </c>
    </row>
    <row r="401" spans="1:6" x14ac:dyDescent="0.3">
      <c r="A401" s="3">
        <v>44754</v>
      </c>
      <c r="B401" s="4" t="s">
        <v>65</v>
      </c>
      <c r="C401" s="5">
        <v>12</v>
      </c>
      <c r="D401" s="5" t="s">
        <v>108</v>
      </c>
      <c r="E401" s="5" t="s">
        <v>107</v>
      </c>
      <c r="F401" s="6">
        <v>0</v>
      </c>
    </row>
    <row r="402" spans="1:6" x14ac:dyDescent="0.3">
      <c r="A402" s="3">
        <v>44755</v>
      </c>
      <c r="B402" s="4" t="s">
        <v>58</v>
      </c>
      <c r="C402" s="5">
        <v>7</v>
      </c>
      <c r="D402" s="5" t="s">
        <v>108</v>
      </c>
      <c r="E402" s="5" t="s">
        <v>106</v>
      </c>
      <c r="F402" s="6">
        <v>0</v>
      </c>
    </row>
    <row r="403" spans="1:6" x14ac:dyDescent="0.3">
      <c r="A403" s="3">
        <v>44756</v>
      </c>
      <c r="B403" s="4" t="s">
        <v>75</v>
      </c>
      <c r="C403" s="5">
        <v>9</v>
      </c>
      <c r="D403" s="5" t="s">
        <v>108</v>
      </c>
      <c r="E403" s="5" t="s">
        <v>106</v>
      </c>
      <c r="F403" s="6">
        <v>0</v>
      </c>
    </row>
    <row r="404" spans="1:6" x14ac:dyDescent="0.3">
      <c r="A404" s="3">
        <v>44757</v>
      </c>
      <c r="B404" s="4" t="s">
        <v>14</v>
      </c>
      <c r="C404" s="5">
        <v>2</v>
      </c>
      <c r="D404" s="5" t="s">
        <v>106</v>
      </c>
      <c r="E404" s="5" t="s">
        <v>106</v>
      </c>
      <c r="F404" s="6">
        <v>0</v>
      </c>
    </row>
    <row r="405" spans="1:6" x14ac:dyDescent="0.3">
      <c r="A405" s="3">
        <v>44759</v>
      </c>
      <c r="B405" s="4" t="s">
        <v>92</v>
      </c>
      <c r="C405" s="5">
        <v>8</v>
      </c>
      <c r="D405" s="5" t="s">
        <v>106</v>
      </c>
      <c r="E405" s="5" t="s">
        <v>107</v>
      </c>
      <c r="F405" s="6">
        <v>0</v>
      </c>
    </row>
    <row r="406" spans="1:6" x14ac:dyDescent="0.3">
      <c r="A406" s="3">
        <v>44760</v>
      </c>
      <c r="B406" s="4" t="s">
        <v>26</v>
      </c>
      <c r="C406" s="5">
        <v>12</v>
      </c>
      <c r="D406" s="5" t="s">
        <v>108</v>
      </c>
      <c r="E406" s="5" t="s">
        <v>106</v>
      </c>
      <c r="F406" s="6">
        <v>0</v>
      </c>
    </row>
    <row r="407" spans="1:6" x14ac:dyDescent="0.3">
      <c r="A407" s="3">
        <v>44762</v>
      </c>
      <c r="B407" s="4" t="s">
        <v>94</v>
      </c>
      <c r="C407" s="5">
        <v>8</v>
      </c>
      <c r="D407" s="5" t="s">
        <v>105</v>
      </c>
      <c r="E407" s="5" t="s">
        <v>106</v>
      </c>
      <c r="F407" s="6">
        <v>0</v>
      </c>
    </row>
    <row r="408" spans="1:6" x14ac:dyDescent="0.3">
      <c r="A408" s="3">
        <v>44764</v>
      </c>
      <c r="B408" s="4" t="s">
        <v>77</v>
      </c>
      <c r="C408" s="5">
        <v>6</v>
      </c>
      <c r="D408" s="5" t="s">
        <v>108</v>
      </c>
      <c r="E408" s="5" t="s">
        <v>107</v>
      </c>
      <c r="F408" s="6">
        <v>0</v>
      </c>
    </row>
    <row r="409" spans="1:6" x14ac:dyDescent="0.3">
      <c r="A409" s="3">
        <v>44765</v>
      </c>
      <c r="B409" s="4" t="s">
        <v>43</v>
      </c>
      <c r="C409" s="5">
        <v>2</v>
      </c>
      <c r="D409" s="5" t="s">
        <v>106</v>
      </c>
      <c r="E409" s="5" t="s">
        <v>106</v>
      </c>
      <c r="F409" s="6">
        <v>0</v>
      </c>
    </row>
    <row r="410" spans="1:6" x14ac:dyDescent="0.3">
      <c r="A410" s="3">
        <v>44766</v>
      </c>
      <c r="B410" s="4" t="s">
        <v>18</v>
      </c>
      <c r="C410" s="5">
        <v>14</v>
      </c>
      <c r="D410" s="5" t="s">
        <v>108</v>
      </c>
      <c r="E410" s="5" t="s">
        <v>107</v>
      </c>
      <c r="F410" s="6">
        <v>0</v>
      </c>
    </row>
    <row r="411" spans="1:6" x14ac:dyDescent="0.3">
      <c r="A411" s="3">
        <v>44766</v>
      </c>
      <c r="B411" s="4" t="s">
        <v>63</v>
      </c>
      <c r="C411" s="5">
        <v>1</v>
      </c>
      <c r="D411" s="5" t="s">
        <v>106</v>
      </c>
      <c r="E411" s="5" t="s">
        <v>106</v>
      </c>
      <c r="F411" s="6">
        <v>0</v>
      </c>
    </row>
    <row r="412" spans="1:6" x14ac:dyDescent="0.3">
      <c r="A412" s="3">
        <v>44767</v>
      </c>
      <c r="B412" s="4" t="s">
        <v>98</v>
      </c>
      <c r="C412" s="5">
        <v>2</v>
      </c>
      <c r="D412" s="5" t="s">
        <v>108</v>
      </c>
      <c r="E412" s="5" t="s">
        <v>107</v>
      </c>
      <c r="F412" s="6">
        <v>0</v>
      </c>
    </row>
    <row r="413" spans="1:6" x14ac:dyDescent="0.3">
      <c r="A413" s="3">
        <v>44767</v>
      </c>
      <c r="B413" s="4" t="s">
        <v>41</v>
      </c>
      <c r="C413" s="5">
        <v>12</v>
      </c>
      <c r="D413" s="5" t="s">
        <v>108</v>
      </c>
      <c r="E413" s="5" t="s">
        <v>107</v>
      </c>
      <c r="F413" s="6">
        <v>0</v>
      </c>
    </row>
    <row r="414" spans="1:6" x14ac:dyDescent="0.3">
      <c r="A414" s="3">
        <v>44767</v>
      </c>
      <c r="B414" s="4" t="s">
        <v>12</v>
      </c>
      <c r="C414" s="5">
        <v>13</v>
      </c>
      <c r="D414" s="5" t="s">
        <v>106</v>
      </c>
      <c r="E414" s="5" t="s">
        <v>107</v>
      </c>
      <c r="F414" s="6">
        <v>0</v>
      </c>
    </row>
    <row r="415" spans="1:6" x14ac:dyDescent="0.3">
      <c r="A415" s="3">
        <v>44768</v>
      </c>
      <c r="B415" s="4" t="s">
        <v>12</v>
      </c>
      <c r="C415" s="5">
        <v>10</v>
      </c>
      <c r="D415" s="5" t="s">
        <v>106</v>
      </c>
      <c r="E415" s="5" t="s">
        <v>106</v>
      </c>
      <c r="F415" s="6">
        <v>0</v>
      </c>
    </row>
    <row r="416" spans="1:6" x14ac:dyDescent="0.3">
      <c r="A416" s="3">
        <v>44768</v>
      </c>
      <c r="B416" s="4" t="s">
        <v>60</v>
      </c>
      <c r="C416" s="5">
        <v>1</v>
      </c>
      <c r="D416" s="5" t="s">
        <v>106</v>
      </c>
      <c r="E416" s="5" t="s">
        <v>107</v>
      </c>
      <c r="F416" s="6">
        <v>0</v>
      </c>
    </row>
    <row r="417" spans="1:6" x14ac:dyDescent="0.3">
      <c r="A417" s="3">
        <v>44776</v>
      </c>
      <c r="B417" s="4" t="s">
        <v>31</v>
      </c>
      <c r="C417" s="5">
        <v>5</v>
      </c>
      <c r="D417" s="5" t="s">
        <v>108</v>
      </c>
      <c r="E417" s="5" t="s">
        <v>107</v>
      </c>
      <c r="F417" s="6">
        <v>0</v>
      </c>
    </row>
    <row r="418" spans="1:6" x14ac:dyDescent="0.3">
      <c r="A418" s="3">
        <v>44779</v>
      </c>
      <c r="B418" s="4" t="s">
        <v>39</v>
      </c>
      <c r="C418" s="5">
        <v>9</v>
      </c>
      <c r="D418" s="5" t="s">
        <v>106</v>
      </c>
      <c r="E418" s="5" t="s">
        <v>106</v>
      </c>
      <c r="F418" s="6">
        <v>0</v>
      </c>
    </row>
    <row r="419" spans="1:6" x14ac:dyDescent="0.3">
      <c r="A419" s="3">
        <v>44781</v>
      </c>
      <c r="B419" s="4" t="s">
        <v>39</v>
      </c>
      <c r="C419" s="5">
        <v>2</v>
      </c>
      <c r="D419" s="5" t="s">
        <v>108</v>
      </c>
      <c r="E419" s="5" t="s">
        <v>106</v>
      </c>
      <c r="F419" s="6">
        <v>0</v>
      </c>
    </row>
    <row r="420" spans="1:6" x14ac:dyDescent="0.3">
      <c r="A420" s="3">
        <v>44781</v>
      </c>
      <c r="B420" s="4" t="s">
        <v>73</v>
      </c>
      <c r="C420" s="5">
        <v>12</v>
      </c>
      <c r="D420" s="5" t="s">
        <v>108</v>
      </c>
      <c r="E420" s="5" t="s">
        <v>107</v>
      </c>
      <c r="F420" s="6">
        <v>0</v>
      </c>
    </row>
    <row r="421" spans="1:6" x14ac:dyDescent="0.3">
      <c r="A421" s="3">
        <v>44781</v>
      </c>
      <c r="B421" s="4" t="s">
        <v>50</v>
      </c>
      <c r="C421" s="5">
        <v>11</v>
      </c>
      <c r="D421" s="5" t="s">
        <v>108</v>
      </c>
      <c r="E421" s="5" t="s">
        <v>107</v>
      </c>
      <c r="F421" s="6">
        <v>0</v>
      </c>
    </row>
    <row r="422" spans="1:6" x14ac:dyDescent="0.3">
      <c r="A422" s="3">
        <v>44787</v>
      </c>
      <c r="B422" s="4" t="s">
        <v>69</v>
      </c>
      <c r="C422" s="5">
        <v>14</v>
      </c>
      <c r="D422" s="5" t="s">
        <v>108</v>
      </c>
      <c r="E422" s="5" t="s">
        <v>107</v>
      </c>
      <c r="F422" s="6">
        <v>0</v>
      </c>
    </row>
    <row r="423" spans="1:6" x14ac:dyDescent="0.3">
      <c r="A423" s="3">
        <v>44788</v>
      </c>
      <c r="B423" s="4" t="s">
        <v>29</v>
      </c>
      <c r="C423" s="5">
        <v>10</v>
      </c>
      <c r="D423" s="5" t="s">
        <v>105</v>
      </c>
      <c r="E423" s="5" t="s">
        <v>107</v>
      </c>
      <c r="F423" s="6">
        <v>0</v>
      </c>
    </row>
    <row r="424" spans="1:6" x14ac:dyDescent="0.3">
      <c r="A424" s="3">
        <v>44788</v>
      </c>
      <c r="B424" s="4" t="s">
        <v>37</v>
      </c>
      <c r="C424" s="5">
        <v>7</v>
      </c>
      <c r="D424" s="5" t="s">
        <v>108</v>
      </c>
      <c r="E424" s="5" t="s">
        <v>106</v>
      </c>
      <c r="F424" s="6">
        <v>0</v>
      </c>
    </row>
    <row r="425" spans="1:6" x14ac:dyDescent="0.3">
      <c r="A425" s="3">
        <v>44791</v>
      </c>
      <c r="B425" s="4" t="s">
        <v>67</v>
      </c>
      <c r="C425" s="5">
        <v>8</v>
      </c>
      <c r="D425" s="5" t="s">
        <v>106</v>
      </c>
      <c r="E425" s="5" t="s">
        <v>106</v>
      </c>
      <c r="F425" s="6">
        <v>0</v>
      </c>
    </row>
    <row r="426" spans="1:6" x14ac:dyDescent="0.3">
      <c r="A426" s="3">
        <v>44791</v>
      </c>
      <c r="B426" s="4" t="s">
        <v>26</v>
      </c>
      <c r="C426" s="5">
        <v>2</v>
      </c>
      <c r="D426" s="5" t="s">
        <v>106</v>
      </c>
      <c r="E426" s="5" t="s">
        <v>107</v>
      </c>
      <c r="F426" s="6">
        <v>0</v>
      </c>
    </row>
    <row r="427" spans="1:6" x14ac:dyDescent="0.3">
      <c r="A427" s="3">
        <v>44792</v>
      </c>
      <c r="B427" s="4" t="s">
        <v>20</v>
      </c>
      <c r="C427" s="5">
        <v>3</v>
      </c>
      <c r="D427" s="5" t="s">
        <v>106</v>
      </c>
      <c r="E427" s="5" t="s">
        <v>106</v>
      </c>
      <c r="F427" s="6">
        <v>0</v>
      </c>
    </row>
    <row r="428" spans="1:6" x14ac:dyDescent="0.3">
      <c r="A428" s="3">
        <v>44793</v>
      </c>
      <c r="B428" s="4" t="s">
        <v>54</v>
      </c>
      <c r="C428" s="5">
        <v>13</v>
      </c>
      <c r="D428" s="5" t="s">
        <v>108</v>
      </c>
      <c r="E428" s="5" t="s">
        <v>106</v>
      </c>
      <c r="F428" s="6">
        <v>0</v>
      </c>
    </row>
    <row r="429" spans="1:6" x14ac:dyDescent="0.3">
      <c r="A429" s="3">
        <v>44793</v>
      </c>
      <c r="B429" s="4" t="s">
        <v>75</v>
      </c>
      <c r="C429" s="5">
        <v>14</v>
      </c>
      <c r="D429" s="5" t="s">
        <v>108</v>
      </c>
      <c r="E429" s="5" t="s">
        <v>106</v>
      </c>
      <c r="F429" s="6">
        <v>0</v>
      </c>
    </row>
    <row r="430" spans="1:6" x14ac:dyDescent="0.3">
      <c r="A430" s="3">
        <v>44794</v>
      </c>
      <c r="B430" s="4" t="s">
        <v>39</v>
      </c>
      <c r="C430" s="5">
        <v>4</v>
      </c>
      <c r="D430" s="5" t="s">
        <v>108</v>
      </c>
      <c r="E430" s="5" t="s">
        <v>106</v>
      </c>
      <c r="F430" s="6">
        <v>0</v>
      </c>
    </row>
    <row r="431" spans="1:6" x14ac:dyDescent="0.3">
      <c r="A431" s="3">
        <v>44796</v>
      </c>
      <c r="B431" s="4" t="s">
        <v>98</v>
      </c>
      <c r="C431" s="5">
        <v>11</v>
      </c>
      <c r="D431" s="5" t="s">
        <v>106</v>
      </c>
      <c r="E431" s="5" t="s">
        <v>106</v>
      </c>
      <c r="F431" s="6">
        <v>0</v>
      </c>
    </row>
    <row r="432" spans="1:6" x14ac:dyDescent="0.3">
      <c r="A432" s="3">
        <v>44796</v>
      </c>
      <c r="B432" s="4" t="s">
        <v>67</v>
      </c>
      <c r="C432" s="5">
        <v>14</v>
      </c>
      <c r="D432" s="5" t="s">
        <v>108</v>
      </c>
      <c r="E432" s="5" t="s">
        <v>107</v>
      </c>
      <c r="F432" s="6">
        <v>0</v>
      </c>
    </row>
    <row r="433" spans="1:6" x14ac:dyDescent="0.3">
      <c r="A433" s="3">
        <v>44797</v>
      </c>
      <c r="B433" s="4" t="s">
        <v>16</v>
      </c>
      <c r="C433" s="5">
        <v>5</v>
      </c>
      <c r="D433" s="5" t="s">
        <v>108</v>
      </c>
      <c r="E433" s="5" t="s">
        <v>107</v>
      </c>
      <c r="F433" s="6">
        <v>0</v>
      </c>
    </row>
    <row r="434" spans="1:6" x14ac:dyDescent="0.3">
      <c r="A434" s="3">
        <v>44799</v>
      </c>
      <c r="B434" s="4" t="s">
        <v>45</v>
      </c>
      <c r="C434" s="5">
        <v>13</v>
      </c>
      <c r="D434" s="5" t="s">
        <v>105</v>
      </c>
      <c r="E434" s="5" t="s">
        <v>107</v>
      </c>
      <c r="F434" s="6">
        <v>0</v>
      </c>
    </row>
    <row r="435" spans="1:6" x14ac:dyDescent="0.3">
      <c r="A435" s="3">
        <v>44799</v>
      </c>
      <c r="B435" s="4" t="s">
        <v>83</v>
      </c>
      <c r="C435" s="5">
        <v>8</v>
      </c>
      <c r="D435" s="5" t="s">
        <v>106</v>
      </c>
      <c r="E435" s="5" t="s">
        <v>106</v>
      </c>
      <c r="F435" s="6">
        <v>0</v>
      </c>
    </row>
    <row r="436" spans="1:6" x14ac:dyDescent="0.3">
      <c r="A436" s="3">
        <v>44800</v>
      </c>
      <c r="B436" s="4" t="s">
        <v>88</v>
      </c>
      <c r="C436" s="5">
        <v>15</v>
      </c>
      <c r="D436" s="5" t="s">
        <v>105</v>
      </c>
      <c r="E436" s="5" t="s">
        <v>106</v>
      </c>
      <c r="F436" s="6">
        <v>0</v>
      </c>
    </row>
    <row r="437" spans="1:6" x14ac:dyDescent="0.3">
      <c r="A437" s="3">
        <v>44801</v>
      </c>
      <c r="B437" s="4" t="s">
        <v>16</v>
      </c>
      <c r="C437" s="5">
        <v>9</v>
      </c>
      <c r="D437" s="5" t="s">
        <v>106</v>
      </c>
      <c r="E437" s="5" t="s">
        <v>106</v>
      </c>
      <c r="F437" s="6">
        <v>0</v>
      </c>
    </row>
    <row r="438" spans="1:6" x14ac:dyDescent="0.3">
      <c r="A438" s="3">
        <v>44801</v>
      </c>
      <c r="B438" s="4" t="s">
        <v>88</v>
      </c>
      <c r="C438" s="5">
        <v>5</v>
      </c>
      <c r="D438" s="5" t="s">
        <v>108</v>
      </c>
      <c r="E438" s="5" t="s">
        <v>106</v>
      </c>
      <c r="F438" s="6">
        <v>0</v>
      </c>
    </row>
    <row r="439" spans="1:6" x14ac:dyDescent="0.3">
      <c r="A439" s="3">
        <v>44803</v>
      </c>
      <c r="B439" s="4" t="s">
        <v>18</v>
      </c>
      <c r="C439" s="5">
        <v>6</v>
      </c>
      <c r="D439" s="5" t="s">
        <v>106</v>
      </c>
      <c r="E439" s="5" t="s">
        <v>107</v>
      </c>
      <c r="F439" s="6">
        <v>0</v>
      </c>
    </row>
    <row r="440" spans="1:6" x14ac:dyDescent="0.3">
      <c r="A440" s="3">
        <v>44803</v>
      </c>
      <c r="B440" s="4" t="s">
        <v>96</v>
      </c>
      <c r="C440" s="5">
        <v>6</v>
      </c>
      <c r="D440" s="5" t="s">
        <v>108</v>
      </c>
      <c r="E440" s="5" t="s">
        <v>107</v>
      </c>
      <c r="F440" s="6">
        <v>0</v>
      </c>
    </row>
    <row r="441" spans="1:6" x14ac:dyDescent="0.3">
      <c r="A441" s="3">
        <v>44803</v>
      </c>
      <c r="B441" s="4" t="s">
        <v>58</v>
      </c>
      <c r="C441" s="5">
        <v>5</v>
      </c>
      <c r="D441" s="5" t="s">
        <v>108</v>
      </c>
      <c r="E441" s="5" t="s">
        <v>107</v>
      </c>
      <c r="F441" s="6">
        <v>0</v>
      </c>
    </row>
    <row r="442" spans="1:6" x14ac:dyDescent="0.3">
      <c r="A442" s="3">
        <v>44804</v>
      </c>
      <c r="B442" s="4" t="s">
        <v>37</v>
      </c>
      <c r="C442" s="5">
        <v>13</v>
      </c>
      <c r="D442" s="5" t="s">
        <v>108</v>
      </c>
      <c r="E442" s="5" t="s">
        <v>107</v>
      </c>
      <c r="F442" s="6">
        <v>0</v>
      </c>
    </row>
    <row r="443" spans="1:6" x14ac:dyDescent="0.3">
      <c r="A443" s="3">
        <v>44808</v>
      </c>
      <c r="B443" s="4" t="s">
        <v>10</v>
      </c>
      <c r="C443" s="5">
        <v>1</v>
      </c>
      <c r="D443" s="5" t="s">
        <v>108</v>
      </c>
      <c r="E443" s="5" t="s">
        <v>107</v>
      </c>
      <c r="F443" s="6">
        <v>0</v>
      </c>
    </row>
    <row r="444" spans="1:6" x14ac:dyDescent="0.3">
      <c r="A444" s="3">
        <v>44810</v>
      </c>
      <c r="B444" s="4" t="s">
        <v>16</v>
      </c>
      <c r="C444" s="5">
        <v>12</v>
      </c>
      <c r="D444" s="5" t="s">
        <v>105</v>
      </c>
      <c r="E444" s="5" t="s">
        <v>106</v>
      </c>
      <c r="F444" s="6">
        <v>0</v>
      </c>
    </row>
    <row r="445" spans="1:6" x14ac:dyDescent="0.3">
      <c r="A445" s="3">
        <v>44813</v>
      </c>
      <c r="B445" s="4" t="s">
        <v>92</v>
      </c>
      <c r="C445" s="5">
        <v>9</v>
      </c>
      <c r="D445" s="5" t="s">
        <v>108</v>
      </c>
      <c r="E445" s="5" t="s">
        <v>106</v>
      </c>
      <c r="F445" s="6">
        <v>0</v>
      </c>
    </row>
    <row r="446" spans="1:6" x14ac:dyDescent="0.3">
      <c r="A446" s="3">
        <v>44813</v>
      </c>
      <c r="B446" s="4" t="s">
        <v>12</v>
      </c>
      <c r="C446" s="5">
        <v>3</v>
      </c>
      <c r="D446" s="5" t="s">
        <v>108</v>
      </c>
      <c r="E446" s="5" t="s">
        <v>106</v>
      </c>
      <c r="F446" s="6">
        <v>0</v>
      </c>
    </row>
    <row r="447" spans="1:6" x14ac:dyDescent="0.3">
      <c r="A447" s="3">
        <v>44814</v>
      </c>
      <c r="B447" s="4" t="s">
        <v>79</v>
      </c>
      <c r="C447" s="5">
        <v>15</v>
      </c>
      <c r="D447" s="5" t="s">
        <v>106</v>
      </c>
      <c r="E447" s="5" t="s">
        <v>107</v>
      </c>
      <c r="F447" s="6">
        <v>0</v>
      </c>
    </row>
    <row r="448" spans="1:6" x14ac:dyDescent="0.3">
      <c r="A448" s="3">
        <v>44814</v>
      </c>
      <c r="B448" s="4" t="s">
        <v>86</v>
      </c>
      <c r="C448" s="5">
        <v>4</v>
      </c>
      <c r="D448" s="5" t="s">
        <v>108</v>
      </c>
      <c r="E448" s="5" t="s">
        <v>107</v>
      </c>
      <c r="F448" s="6">
        <v>0</v>
      </c>
    </row>
    <row r="449" spans="1:6" x14ac:dyDescent="0.3">
      <c r="A449" s="3">
        <v>44818</v>
      </c>
      <c r="B449" s="4" t="s">
        <v>67</v>
      </c>
      <c r="C449" s="5">
        <v>3</v>
      </c>
      <c r="D449" s="5" t="s">
        <v>108</v>
      </c>
      <c r="E449" s="5" t="s">
        <v>107</v>
      </c>
      <c r="F449" s="6">
        <v>0</v>
      </c>
    </row>
    <row r="450" spans="1:6" x14ac:dyDescent="0.3">
      <c r="A450" s="3">
        <v>44819</v>
      </c>
      <c r="B450" s="4" t="s">
        <v>83</v>
      </c>
      <c r="C450" s="5">
        <v>15</v>
      </c>
      <c r="D450" s="5" t="s">
        <v>106</v>
      </c>
      <c r="E450" s="5" t="s">
        <v>106</v>
      </c>
      <c r="F450" s="6">
        <v>0</v>
      </c>
    </row>
    <row r="451" spans="1:6" x14ac:dyDescent="0.3">
      <c r="A451" s="3">
        <v>44822</v>
      </c>
      <c r="B451" s="4" t="s">
        <v>60</v>
      </c>
      <c r="C451" s="5">
        <v>14</v>
      </c>
      <c r="D451" s="5" t="s">
        <v>106</v>
      </c>
      <c r="E451" s="5" t="s">
        <v>107</v>
      </c>
      <c r="F451" s="6">
        <v>0</v>
      </c>
    </row>
    <row r="452" spans="1:6" x14ac:dyDescent="0.3">
      <c r="A452" s="3">
        <v>44823</v>
      </c>
      <c r="B452" s="4" t="s">
        <v>75</v>
      </c>
      <c r="C452" s="5">
        <v>8</v>
      </c>
      <c r="D452" s="5" t="s">
        <v>105</v>
      </c>
      <c r="E452" s="5" t="s">
        <v>107</v>
      </c>
      <c r="F452" s="6">
        <v>0</v>
      </c>
    </row>
    <row r="453" spans="1:6" x14ac:dyDescent="0.3">
      <c r="A453" s="3">
        <v>44824</v>
      </c>
      <c r="B453" s="4" t="s">
        <v>75</v>
      </c>
      <c r="C453" s="5">
        <v>6</v>
      </c>
      <c r="D453" s="5" t="s">
        <v>108</v>
      </c>
      <c r="E453" s="5" t="s">
        <v>106</v>
      </c>
      <c r="F453" s="6">
        <v>0</v>
      </c>
    </row>
    <row r="454" spans="1:6" x14ac:dyDescent="0.3">
      <c r="A454" s="3">
        <v>44824</v>
      </c>
      <c r="B454" s="4" t="s">
        <v>6</v>
      </c>
      <c r="C454" s="5">
        <v>10</v>
      </c>
      <c r="D454" s="5" t="s">
        <v>108</v>
      </c>
      <c r="E454" s="5" t="s">
        <v>106</v>
      </c>
      <c r="F454" s="6">
        <v>0</v>
      </c>
    </row>
    <row r="455" spans="1:6" x14ac:dyDescent="0.3">
      <c r="A455" s="3">
        <v>44825</v>
      </c>
      <c r="B455" s="4" t="s">
        <v>43</v>
      </c>
      <c r="C455" s="5">
        <v>14</v>
      </c>
      <c r="D455" s="5" t="s">
        <v>106</v>
      </c>
      <c r="E455" s="5" t="s">
        <v>106</v>
      </c>
      <c r="F455" s="6">
        <v>0</v>
      </c>
    </row>
    <row r="456" spans="1:6" x14ac:dyDescent="0.3">
      <c r="A456" s="3">
        <v>44825</v>
      </c>
      <c r="B456" s="4" t="s">
        <v>60</v>
      </c>
      <c r="C456" s="5">
        <v>5</v>
      </c>
      <c r="D456" s="5" t="s">
        <v>108</v>
      </c>
      <c r="E456" s="5" t="s">
        <v>107</v>
      </c>
      <c r="F456" s="6">
        <v>0</v>
      </c>
    </row>
    <row r="457" spans="1:6" x14ac:dyDescent="0.3">
      <c r="A457" s="3">
        <v>44826</v>
      </c>
      <c r="B457" s="4" t="s">
        <v>96</v>
      </c>
      <c r="C457" s="5">
        <v>12</v>
      </c>
      <c r="D457" s="5" t="s">
        <v>106</v>
      </c>
      <c r="E457" s="5" t="s">
        <v>106</v>
      </c>
      <c r="F457" s="6">
        <v>0</v>
      </c>
    </row>
    <row r="458" spans="1:6" x14ac:dyDescent="0.3">
      <c r="A458" s="3">
        <v>44827</v>
      </c>
      <c r="B458" s="4" t="s">
        <v>31</v>
      </c>
      <c r="C458" s="5">
        <v>12</v>
      </c>
      <c r="D458" s="5" t="s">
        <v>108</v>
      </c>
      <c r="E458" s="5" t="s">
        <v>106</v>
      </c>
      <c r="F458" s="6">
        <v>0</v>
      </c>
    </row>
    <row r="459" spans="1:6" x14ac:dyDescent="0.3">
      <c r="A459" s="3">
        <v>44828</v>
      </c>
      <c r="B459" s="4" t="s">
        <v>73</v>
      </c>
      <c r="C459" s="5">
        <v>14</v>
      </c>
      <c r="D459" s="5" t="s">
        <v>108</v>
      </c>
      <c r="E459" s="5" t="s">
        <v>106</v>
      </c>
      <c r="F459" s="6">
        <v>0</v>
      </c>
    </row>
    <row r="460" spans="1:6" x14ac:dyDescent="0.3">
      <c r="A460" s="3">
        <v>44828</v>
      </c>
      <c r="B460" s="4" t="s">
        <v>73</v>
      </c>
      <c r="C460" s="5">
        <v>8</v>
      </c>
      <c r="D460" s="5" t="s">
        <v>108</v>
      </c>
      <c r="E460" s="5" t="s">
        <v>107</v>
      </c>
      <c r="F460" s="6">
        <v>0</v>
      </c>
    </row>
    <row r="461" spans="1:6" x14ac:dyDescent="0.3">
      <c r="A461" s="3">
        <v>44831</v>
      </c>
      <c r="B461" s="4" t="s">
        <v>81</v>
      </c>
      <c r="C461" s="5">
        <v>4</v>
      </c>
      <c r="D461" s="5" t="s">
        <v>108</v>
      </c>
      <c r="E461" s="5" t="s">
        <v>107</v>
      </c>
      <c r="F461" s="6">
        <v>0</v>
      </c>
    </row>
    <row r="462" spans="1:6" x14ac:dyDescent="0.3">
      <c r="A462" s="3">
        <v>44831</v>
      </c>
      <c r="B462" s="4" t="s">
        <v>98</v>
      </c>
      <c r="C462" s="5">
        <v>9</v>
      </c>
      <c r="D462" s="5" t="s">
        <v>108</v>
      </c>
      <c r="E462" s="5" t="s">
        <v>107</v>
      </c>
      <c r="F462" s="6">
        <v>0</v>
      </c>
    </row>
    <row r="463" spans="1:6" x14ac:dyDescent="0.3">
      <c r="A463" s="3">
        <v>44831</v>
      </c>
      <c r="B463" s="4" t="s">
        <v>86</v>
      </c>
      <c r="C463" s="5">
        <v>3</v>
      </c>
      <c r="D463" s="5" t="s">
        <v>105</v>
      </c>
      <c r="E463" s="5" t="s">
        <v>107</v>
      </c>
      <c r="F463" s="6">
        <v>0</v>
      </c>
    </row>
    <row r="464" spans="1:6" x14ac:dyDescent="0.3">
      <c r="A464" s="3">
        <v>44833</v>
      </c>
      <c r="B464" s="4" t="s">
        <v>77</v>
      </c>
      <c r="C464" s="5">
        <v>13</v>
      </c>
      <c r="D464" s="5" t="s">
        <v>108</v>
      </c>
      <c r="E464" s="5" t="s">
        <v>106</v>
      </c>
      <c r="F464" s="6">
        <v>0</v>
      </c>
    </row>
    <row r="465" spans="1:6" x14ac:dyDescent="0.3">
      <c r="A465" s="3">
        <v>44837</v>
      </c>
      <c r="B465" s="4" t="s">
        <v>29</v>
      </c>
      <c r="C465" s="5">
        <v>5</v>
      </c>
      <c r="D465" s="5" t="s">
        <v>108</v>
      </c>
      <c r="E465" s="5" t="s">
        <v>107</v>
      </c>
      <c r="F465" s="6">
        <v>0</v>
      </c>
    </row>
    <row r="466" spans="1:6" x14ac:dyDescent="0.3">
      <c r="A466" s="3">
        <v>44838</v>
      </c>
      <c r="B466" s="4" t="s">
        <v>20</v>
      </c>
      <c r="C466" s="5">
        <v>15</v>
      </c>
      <c r="D466" s="5" t="s">
        <v>108</v>
      </c>
      <c r="E466" s="5" t="s">
        <v>106</v>
      </c>
      <c r="F466" s="6">
        <v>0</v>
      </c>
    </row>
    <row r="467" spans="1:6" x14ac:dyDescent="0.3">
      <c r="A467" s="3">
        <v>44840</v>
      </c>
      <c r="B467" s="4" t="s">
        <v>79</v>
      </c>
      <c r="C467" s="5">
        <v>1</v>
      </c>
      <c r="D467" s="5" t="s">
        <v>108</v>
      </c>
      <c r="E467" s="5" t="s">
        <v>106</v>
      </c>
      <c r="F467" s="6">
        <v>0</v>
      </c>
    </row>
    <row r="468" spans="1:6" x14ac:dyDescent="0.3">
      <c r="A468" s="3">
        <v>44843</v>
      </c>
      <c r="B468" s="4" t="s">
        <v>86</v>
      </c>
      <c r="C468" s="5">
        <v>14</v>
      </c>
      <c r="D468" s="5" t="s">
        <v>106</v>
      </c>
      <c r="E468" s="5" t="s">
        <v>106</v>
      </c>
      <c r="F468" s="6">
        <v>0</v>
      </c>
    </row>
    <row r="469" spans="1:6" x14ac:dyDescent="0.3">
      <c r="A469" s="3">
        <v>44844</v>
      </c>
      <c r="B469" s="4" t="s">
        <v>45</v>
      </c>
      <c r="C469" s="5">
        <v>9</v>
      </c>
      <c r="D469" s="5" t="s">
        <v>108</v>
      </c>
      <c r="E469" s="5" t="s">
        <v>106</v>
      </c>
      <c r="F469" s="6">
        <v>0</v>
      </c>
    </row>
    <row r="470" spans="1:6" x14ac:dyDescent="0.3">
      <c r="A470" s="3">
        <v>44844</v>
      </c>
      <c r="B470" s="4" t="s">
        <v>98</v>
      </c>
      <c r="C470" s="5">
        <v>12</v>
      </c>
      <c r="D470" s="5" t="s">
        <v>106</v>
      </c>
      <c r="E470" s="5" t="s">
        <v>106</v>
      </c>
      <c r="F470" s="6">
        <v>0</v>
      </c>
    </row>
    <row r="471" spans="1:6" x14ac:dyDescent="0.3">
      <c r="A471" s="3">
        <v>44845</v>
      </c>
      <c r="B471" s="4" t="s">
        <v>22</v>
      </c>
      <c r="C471" s="5">
        <v>10</v>
      </c>
      <c r="D471" s="5" t="s">
        <v>108</v>
      </c>
      <c r="E471" s="5" t="s">
        <v>106</v>
      </c>
      <c r="F471" s="6">
        <v>0</v>
      </c>
    </row>
    <row r="472" spans="1:6" x14ac:dyDescent="0.3">
      <c r="A472" s="3">
        <v>44847</v>
      </c>
      <c r="B472" s="4" t="s">
        <v>10</v>
      </c>
      <c r="C472" s="5">
        <v>15</v>
      </c>
      <c r="D472" s="5" t="s">
        <v>106</v>
      </c>
      <c r="E472" s="5" t="s">
        <v>106</v>
      </c>
      <c r="F472" s="6">
        <v>0</v>
      </c>
    </row>
    <row r="473" spans="1:6" x14ac:dyDescent="0.3">
      <c r="A473" s="3">
        <v>44848</v>
      </c>
      <c r="B473" s="4" t="s">
        <v>98</v>
      </c>
      <c r="C473" s="5">
        <v>15</v>
      </c>
      <c r="D473" s="5" t="s">
        <v>105</v>
      </c>
      <c r="E473" s="5" t="s">
        <v>106</v>
      </c>
      <c r="F473" s="6">
        <v>0</v>
      </c>
    </row>
    <row r="474" spans="1:6" x14ac:dyDescent="0.3">
      <c r="A474" s="3">
        <v>44849</v>
      </c>
      <c r="B474" s="4" t="s">
        <v>37</v>
      </c>
      <c r="C474" s="5">
        <v>10</v>
      </c>
      <c r="D474" s="5" t="s">
        <v>108</v>
      </c>
      <c r="E474" s="5" t="s">
        <v>107</v>
      </c>
      <c r="F474" s="6">
        <v>0</v>
      </c>
    </row>
    <row r="475" spans="1:6" x14ac:dyDescent="0.3">
      <c r="A475" s="3">
        <v>44850</v>
      </c>
      <c r="B475" s="4" t="s">
        <v>81</v>
      </c>
      <c r="C475" s="5">
        <v>3</v>
      </c>
      <c r="D475" s="5" t="s">
        <v>106</v>
      </c>
      <c r="E475" s="5" t="s">
        <v>106</v>
      </c>
      <c r="F475" s="6">
        <v>0</v>
      </c>
    </row>
    <row r="476" spans="1:6" x14ac:dyDescent="0.3">
      <c r="A476" s="3">
        <v>44857</v>
      </c>
      <c r="B476" s="4" t="s">
        <v>56</v>
      </c>
      <c r="C476" s="5">
        <v>14</v>
      </c>
      <c r="D476" s="5" t="s">
        <v>106</v>
      </c>
      <c r="E476" s="5" t="s">
        <v>107</v>
      </c>
      <c r="F476" s="6">
        <v>0</v>
      </c>
    </row>
    <row r="477" spans="1:6" x14ac:dyDescent="0.3">
      <c r="A477" s="3">
        <v>44864</v>
      </c>
      <c r="B477" s="4" t="s">
        <v>94</v>
      </c>
      <c r="C477" s="5">
        <v>3</v>
      </c>
      <c r="D477" s="5" t="s">
        <v>108</v>
      </c>
      <c r="E477" s="5" t="s">
        <v>107</v>
      </c>
      <c r="F477" s="6">
        <v>0</v>
      </c>
    </row>
    <row r="478" spans="1:6" x14ac:dyDescent="0.3">
      <c r="A478" s="3">
        <v>44865</v>
      </c>
      <c r="B478" s="4" t="s">
        <v>86</v>
      </c>
      <c r="C478" s="5">
        <v>8</v>
      </c>
      <c r="D478" s="5" t="s">
        <v>108</v>
      </c>
      <c r="E478" s="5" t="s">
        <v>106</v>
      </c>
      <c r="F478" s="6">
        <v>0</v>
      </c>
    </row>
    <row r="479" spans="1:6" x14ac:dyDescent="0.3">
      <c r="A479" s="3">
        <v>44866</v>
      </c>
      <c r="B479" s="4" t="s">
        <v>31</v>
      </c>
      <c r="C479" s="5">
        <v>15</v>
      </c>
      <c r="D479" s="5" t="s">
        <v>105</v>
      </c>
      <c r="E479" s="5" t="s">
        <v>106</v>
      </c>
      <c r="F479" s="6">
        <v>0</v>
      </c>
    </row>
    <row r="480" spans="1:6" x14ac:dyDescent="0.3">
      <c r="A480" s="3">
        <v>44867</v>
      </c>
      <c r="B480" s="4" t="s">
        <v>37</v>
      </c>
      <c r="C480" s="5">
        <v>15</v>
      </c>
      <c r="D480" s="5" t="s">
        <v>105</v>
      </c>
      <c r="E480" s="5" t="s">
        <v>107</v>
      </c>
      <c r="F480" s="6">
        <v>0</v>
      </c>
    </row>
    <row r="481" spans="1:6" x14ac:dyDescent="0.3">
      <c r="A481" s="3">
        <v>44867</v>
      </c>
      <c r="B481" s="4" t="s">
        <v>69</v>
      </c>
      <c r="C481" s="5">
        <v>15</v>
      </c>
      <c r="D481" s="5" t="s">
        <v>108</v>
      </c>
      <c r="E481" s="5" t="s">
        <v>107</v>
      </c>
      <c r="F481" s="6">
        <v>0</v>
      </c>
    </row>
    <row r="482" spans="1:6" x14ac:dyDescent="0.3">
      <c r="A482" s="3">
        <v>44867</v>
      </c>
      <c r="B482" s="4" t="s">
        <v>79</v>
      </c>
      <c r="C482" s="5">
        <v>5</v>
      </c>
      <c r="D482" s="5" t="s">
        <v>108</v>
      </c>
      <c r="E482" s="5" t="s">
        <v>107</v>
      </c>
      <c r="F482" s="6">
        <v>0</v>
      </c>
    </row>
    <row r="483" spans="1:6" x14ac:dyDescent="0.3">
      <c r="A483" s="3">
        <v>44868</v>
      </c>
      <c r="B483" s="4" t="s">
        <v>47</v>
      </c>
      <c r="C483" s="5">
        <v>11</v>
      </c>
      <c r="D483" s="5" t="s">
        <v>106</v>
      </c>
      <c r="E483" s="5" t="s">
        <v>106</v>
      </c>
      <c r="F483" s="6">
        <v>0</v>
      </c>
    </row>
    <row r="484" spans="1:6" x14ac:dyDescent="0.3">
      <c r="A484" s="3">
        <v>44869</v>
      </c>
      <c r="B484" s="4" t="s">
        <v>22</v>
      </c>
      <c r="C484" s="5">
        <v>10</v>
      </c>
      <c r="D484" s="5" t="s">
        <v>108</v>
      </c>
      <c r="E484" s="5" t="s">
        <v>106</v>
      </c>
      <c r="F484" s="6">
        <v>0</v>
      </c>
    </row>
    <row r="485" spans="1:6" x14ac:dyDescent="0.3">
      <c r="A485" s="3">
        <v>44870</v>
      </c>
      <c r="B485" s="4" t="s">
        <v>45</v>
      </c>
      <c r="C485" s="5">
        <v>15</v>
      </c>
      <c r="D485" s="5" t="s">
        <v>108</v>
      </c>
      <c r="E485" s="5" t="s">
        <v>107</v>
      </c>
      <c r="F485" s="6">
        <v>0</v>
      </c>
    </row>
    <row r="486" spans="1:6" x14ac:dyDescent="0.3">
      <c r="A486" s="3">
        <v>44871</v>
      </c>
      <c r="B486" s="4" t="s">
        <v>96</v>
      </c>
      <c r="C486" s="5">
        <v>13</v>
      </c>
      <c r="D486" s="5" t="s">
        <v>108</v>
      </c>
      <c r="E486" s="5" t="s">
        <v>107</v>
      </c>
      <c r="F486" s="6">
        <v>0</v>
      </c>
    </row>
    <row r="487" spans="1:6" x14ac:dyDescent="0.3">
      <c r="A487" s="3">
        <v>44871</v>
      </c>
      <c r="B487" s="4" t="s">
        <v>37</v>
      </c>
      <c r="C487" s="5">
        <v>13</v>
      </c>
      <c r="D487" s="5" t="s">
        <v>106</v>
      </c>
      <c r="E487" s="5" t="s">
        <v>106</v>
      </c>
      <c r="F487" s="6">
        <v>0</v>
      </c>
    </row>
    <row r="488" spans="1:6" x14ac:dyDescent="0.3">
      <c r="A488" s="3">
        <v>44871</v>
      </c>
      <c r="B488" s="4" t="s">
        <v>94</v>
      </c>
      <c r="C488" s="5">
        <v>13</v>
      </c>
      <c r="D488" s="5" t="s">
        <v>108</v>
      </c>
      <c r="E488" s="5" t="s">
        <v>107</v>
      </c>
      <c r="F488" s="6">
        <v>0</v>
      </c>
    </row>
    <row r="489" spans="1:6" x14ac:dyDescent="0.3">
      <c r="A489" s="3">
        <v>44872</v>
      </c>
      <c r="B489" s="4" t="s">
        <v>90</v>
      </c>
      <c r="C489" s="5">
        <v>13</v>
      </c>
      <c r="D489" s="5" t="s">
        <v>106</v>
      </c>
      <c r="E489" s="5" t="s">
        <v>107</v>
      </c>
      <c r="F489" s="6">
        <v>0</v>
      </c>
    </row>
    <row r="490" spans="1:6" x14ac:dyDescent="0.3">
      <c r="A490" s="3">
        <v>44873</v>
      </c>
      <c r="B490" s="4" t="s">
        <v>81</v>
      </c>
      <c r="C490" s="5">
        <v>11</v>
      </c>
      <c r="D490" s="5" t="s">
        <v>105</v>
      </c>
      <c r="E490" s="5" t="s">
        <v>107</v>
      </c>
      <c r="F490" s="6">
        <v>0</v>
      </c>
    </row>
    <row r="491" spans="1:6" x14ac:dyDescent="0.3">
      <c r="A491" s="3">
        <v>44873</v>
      </c>
      <c r="B491" s="4" t="s">
        <v>45</v>
      </c>
      <c r="C491" s="5">
        <v>10</v>
      </c>
      <c r="D491" s="5" t="s">
        <v>105</v>
      </c>
      <c r="E491" s="5" t="s">
        <v>106</v>
      </c>
      <c r="F491" s="6">
        <v>0</v>
      </c>
    </row>
    <row r="492" spans="1:6" x14ac:dyDescent="0.3">
      <c r="A492" s="3">
        <v>44874</v>
      </c>
      <c r="B492" s="4" t="s">
        <v>63</v>
      </c>
      <c r="C492" s="5">
        <v>8</v>
      </c>
      <c r="D492" s="5" t="s">
        <v>106</v>
      </c>
      <c r="E492" s="5" t="s">
        <v>107</v>
      </c>
      <c r="F492" s="6">
        <v>0</v>
      </c>
    </row>
    <row r="493" spans="1:6" x14ac:dyDescent="0.3">
      <c r="A493" s="3">
        <v>44875</v>
      </c>
      <c r="B493" s="4" t="s">
        <v>43</v>
      </c>
      <c r="C493" s="5">
        <v>7</v>
      </c>
      <c r="D493" s="5" t="s">
        <v>108</v>
      </c>
      <c r="E493" s="5" t="s">
        <v>106</v>
      </c>
      <c r="F493" s="6">
        <v>0</v>
      </c>
    </row>
    <row r="494" spans="1:6" x14ac:dyDescent="0.3">
      <c r="A494" s="3">
        <v>44878</v>
      </c>
      <c r="B494" s="4" t="s">
        <v>63</v>
      </c>
      <c r="C494" s="5">
        <v>10</v>
      </c>
      <c r="D494" s="5" t="s">
        <v>105</v>
      </c>
      <c r="E494" s="5" t="s">
        <v>107</v>
      </c>
      <c r="F494" s="6">
        <v>0</v>
      </c>
    </row>
    <row r="495" spans="1:6" x14ac:dyDescent="0.3">
      <c r="A495" s="3">
        <v>44879</v>
      </c>
      <c r="B495" s="4" t="s">
        <v>10</v>
      </c>
      <c r="C495" s="5">
        <v>1</v>
      </c>
      <c r="D495" s="5" t="s">
        <v>108</v>
      </c>
      <c r="E495" s="5" t="s">
        <v>107</v>
      </c>
      <c r="F495" s="6">
        <v>0</v>
      </c>
    </row>
    <row r="496" spans="1:6" x14ac:dyDescent="0.3">
      <c r="A496" s="3">
        <v>44880</v>
      </c>
      <c r="B496" s="4" t="s">
        <v>31</v>
      </c>
      <c r="C496" s="5">
        <v>14</v>
      </c>
      <c r="D496" s="5" t="s">
        <v>108</v>
      </c>
      <c r="E496" s="5" t="s">
        <v>107</v>
      </c>
      <c r="F496" s="6">
        <v>0</v>
      </c>
    </row>
    <row r="497" spans="1:6" x14ac:dyDescent="0.3">
      <c r="A497" s="3">
        <v>44881</v>
      </c>
      <c r="B497" s="4" t="s">
        <v>41</v>
      </c>
      <c r="C497" s="5">
        <v>8</v>
      </c>
      <c r="D497" s="5" t="s">
        <v>106</v>
      </c>
      <c r="E497" s="5" t="s">
        <v>106</v>
      </c>
      <c r="F497" s="6">
        <v>0</v>
      </c>
    </row>
    <row r="498" spans="1:6" x14ac:dyDescent="0.3">
      <c r="A498" s="3">
        <v>44883</v>
      </c>
      <c r="B498" s="4" t="s">
        <v>77</v>
      </c>
      <c r="C498" s="5">
        <v>8</v>
      </c>
      <c r="D498" s="5" t="s">
        <v>108</v>
      </c>
      <c r="E498" s="5" t="s">
        <v>107</v>
      </c>
      <c r="F498" s="6">
        <v>0</v>
      </c>
    </row>
    <row r="499" spans="1:6" x14ac:dyDescent="0.3">
      <c r="A499" s="3">
        <v>44886</v>
      </c>
      <c r="B499" s="4" t="s">
        <v>47</v>
      </c>
      <c r="C499" s="5">
        <v>6</v>
      </c>
      <c r="D499" s="5" t="s">
        <v>108</v>
      </c>
      <c r="E499" s="5" t="s">
        <v>107</v>
      </c>
      <c r="F499" s="6">
        <v>0</v>
      </c>
    </row>
    <row r="500" spans="1:6" x14ac:dyDescent="0.3">
      <c r="A500" s="3">
        <v>44888</v>
      </c>
      <c r="B500" s="4" t="s">
        <v>81</v>
      </c>
      <c r="C500" s="5">
        <v>12</v>
      </c>
      <c r="D500" s="5" t="s">
        <v>106</v>
      </c>
      <c r="E500" s="5" t="s">
        <v>106</v>
      </c>
      <c r="F500" s="6">
        <v>0</v>
      </c>
    </row>
    <row r="501" spans="1:6" x14ac:dyDescent="0.3">
      <c r="A501" s="3">
        <v>44890</v>
      </c>
      <c r="B501" s="4" t="s">
        <v>14</v>
      </c>
      <c r="C501" s="5">
        <v>5</v>
      </c>
      <c r="D501" s="5" t="s">
        <v>108</v>
      </c>
      <c r="E501" s="5" t="s">
        <v>107</v>
      </c>
      <c r="F501" s="6">
        <v>0</v>
      </c>
    </row>
    <row r="502" spans="1:6" x14ac:dyDescent="0.3">
      <c r="A502" s="3">
        <v>44891</v>
      </c>
      <c r="B502" s="4" t="s">
        <v>73</v>
      </c>
      <c r="C502" s="5">
        <v>5</v>
      </c>
      <c r="D502" s="5" t="s">
        <v>108</v>
      </c>
      <c r="E502" s="5" t="s">
        <v>106</v>
      </c>
      <c r="F502" s="6">
        <v>0</v>
      </c>
    </row>
    <row r="503" spans="1:6" x14ac:dyDescent="0.3">
      <c r="A503" s="3">
        <v>44892</v>
      </c>
      <c r="B503" s="4" t="s">
        <v>77</v>
      </c>
      <c r="C503" s="5">
        <v>15</v>
      </c>
      <c r="D503" s="5" t="s">
        <v>108</v>
      </c>
      <c r="E503" s="5" t="s">
        <v>106</v>
      </c>
      <c r="F503" s="6">
        <v>0</v>
      </c>
    </row>
    <row r="504" spans="1:6" x14ac:dyDescent="0.3">
      <c r="A504" s="3">
        <v>44893</v>
      </c>
      <c r="B504" s="4" t="s">
        <v>71</v>
      </c>
      <c r="C504" s="5">
        <v>8</v>
      </c>
      <c r="D504" s="5" t="s">
        <v>108</v>
      </c>
      <c r="E504" s="5" t="s">
        <v>107</v>
      </c>
      <c r="F504" s="6">
        <v>0</v>
      </c>
    </row>
    <row r="505" spans="1:6" x14ac:dyDescent="0.3">
      <c r="A505" s="3">
        <v>44895</v>
      </c>
      <c r="B505" s="4" t="s">
        <v>37</v>
      </c>
      <c r="C505" s="5">
        <v>2</v>
      </c>
      <c r="D505" s="5" t="s">
        <v>108</v>
      </c>
      <c r="E505" s="5" t="s">
        <v>106</v>
      </c>
      <c r="F505" s="6">
        <v>0</v>
      </c>
    </row>
    <row r="506" spans="1:6" x14ac:dyDescent="0.3">
      <c r="A506" s="3">
        <v>44898</v>
      </c>
      <c r="B506" s="4" t="s">
        <v>65</v>
      </c>
      <c r="C506" s="5">
        <v>5</v>
      </c>
      <c r="D506" s="5" t="s">
        <v>105</v>
      </c>
      <c r="E506" s="5" t="s">
        <v>107</v>
      </c>
      <c r="F506" s="6">
        <v>0</v>
      </c>
    </row>
    <row r="507" spans="1:6" x14ac:dyDescent="0.3">
      <c r="A507" s="3">
        <v>44899</v>
      </c>
      <c r="B507" s="4" t="s">
        <v>60</v>
      </c>
      <c r="C507" s="5">
        <v>10</v>
      </c>
      <c r="D507" s="5" t="s">
        <v>108</v>
      </c>
      <c r="E507" s="5" t="s">
        <v>107</v>
      </c>
      <c r="F507" s="6">
        <v>0</v>
      </c>
    </row>
    <row r="508" spans="1:6" x14ac:dyDescent="0.3">
      <c r="A508" s="3">
        <v>44899</v>
      </c>
      <c r="B508" s="4" t="s">
        <v>98</v>
      </c>
      <c r="C508" s="5">
        <v>15</v>
      </c>
      <c r="D508" s="5" t="s">
        <v>108</v>
      </c>
      <c r="E508" s="5" t="s">
        <v>107</v>
      </c>
      <c r="F508" s="6">
        <v>0</v>
      </c>
    </row>
    <row r="509" spans="1:6" x14ac:dyDescent="0.3">
      <c r="A509" s="3">
        <v>44902</v>
      </c>
      <c r="B509" s="4" t="s">
        <v>86</v>
      </c>
      <c r="C509" s="5">
        <v>12</v>
      </c>
      <c r="D509" s="5" t="s">
        <v>108</v>
      </c>
      <c r="E509" s="5" t="s">
        <v>107</v>
      </c>
      <c r="F509" s="6">
        <v>0</v>
      </c>
    </row>
    <row r="510" spans="1:6" x14ac:dyDescent="0.3">
      <c r="A510" s="3">
        <v>44902</v>
      </c>
      <c r="B510" s="4" t="s">
        <v>39</v>
      </c>
      <c r="C510" s="5">
        <v>13</v>
      </c>
      <c r="D510" s="5" t="s">
        <v>108</v>
      </c>
      <c r="E510" s="5" t="s">
        <v>106</v>
      </c>
      <c r="F510" s="6">
        <v>0</v>
      </c>
    </row>
    <row r="511" spans="1:6" x14ac:dyDescent="0.3">
      <c r="A511" s="3">
        <v>44902</v>
      </c>
      <c r="B511" s="4" t="s">
        <v>86</v>
      </c>
      <c r="C511" s="5">
        <v>5</v>
      </c>
      <c r="D511" s="5" t="s">
        <v>108</v>
      </c>
      <c r="E511" s="5" t="s">
        <v>107</v>
      </c>
      <c r="F511" s="6">
        <v>0</v>
      </c>
    </row>
    <row r="512" spans="1:6" x14ac:dyDescent="0.3">
      <c r="A512" s="3">
        <v>44906</v>
      </c>
      <c r="B512" s="4" t="s">
        <v>63</v>
      </c>
      <c r="C512" s="5">
        <v>5</v>
      </c>
      <c r="D512" s="5" t="s">
        <v>108</v>
      </c>
      <c r="E512" s="5" t="s">
        <v>106</v>
      </c>
      <c r="F512" s="6">
        <v>0</v>
      </c>
    </row>
    <row r="513" spans="1:6" x14ac:dyDescent="0.3">
      <c r="A513" s="3">
        <v>44906</v>
      </c>
      <c r="B513" s="4" t="s">
        <v>33</v>
      </c>
      <c r="C513" s="5">
        <v>9</v>
      </c>
      <c r="D513" s="5" t="s">
        <v>105</v>
      </c>
      <c r="E513" s="5" t="s">
        <v>106</v>
      </c>
      <c r="F513" s="6">
        <v>0</v>
      </c>
    </row>
    <row r="514" spans="1:6" x14ac:dyDescent="0.3">
      <c r="A514" s="3">
        <v>44906</v>
      </c>
      <c r="B514" s="4" t="s">
        <v>35</v>
      </c>
      <c r="C514" s="5">
        <v>10</v>
      </c>
      <c r="D514" s="5" t="s">
        <v>106</v>
      </c>
      <c r="E514" s="5" t="s">
        <v>107</v>
      </c>
      <c r="F514" s="6">
        <v>0</v>
      </c>
    </row>
    <row r="515" spans="1:6" x14ac:dyDescent="0.3">
      <c r="A515" s="3">
        <v>44907</v>
      </c>
      <c r="B515" s="4" t="s">
        <v>69</v>
      </c>
      <c r="C515" s="5">
        <v>9</v>
      </c>
      <c r="D515" s="5" t="s">
        <v>105</v>
      </c>
      <c r="E515" s="5" t="s">
        <v>107</v>
      </c>
      <c r="F515" s="6">
        <v>0</v>
      </c>
    </row>
    <row r="516" spans="1:6" x14ac:dyDescent="0.3">
      <c r="A516" s="3">
        <v>44907</v>
      </c>
      <c r="B516" s="4" t="s">
        <v>92</v>
      </c>
      <c r="C516" s="5">
        <v>10</v>
      </c>
      <c r="D516" s="5" t="s">
        <v>105</v>
      </c>
      <c r="E516" s="5" t="s">
        <v>106</v>
      </c>
      <c r="F516" s="6">
        <v>0</v>
      </c>
    </row>
    <row r="517" spans="1:6" x14ac:dyDescent="0.3">
      <c r="A517" s="3">
        <v>44909</v>
      </c>
      <c r="B517" s="4" t="s">
        <v>16</v>
      </c>
      <c r="C517" s="5">
        <v>4</v>
      </c>
      <c r="D517" s="5" t="s">
        <v>108</v>
      </c>
      <c r="E517" s="5" t="s">
        <v>107</v>
      </c>
      <c r="F517" s="6">
        <v>0</v>
      </c>
    </row>
    <row r="518" spans="1:6" x14ac:dyDescent="0.3">
      <c r="A518" s="3">
        <v>44910</v>
      </c>
      <c r="B518" s="4" t="s">
        <v>24</v>
      </c>
      <c r="C518" s="5">
        <v>13</v>
      </c>
      <c r="D518" s="5" t="s">
        <v>108</v>
      </c>
      <c r="E518" s="5" t="s">
        <v>106</v>
      </c>
      <c r="F518" s="6">
        <v>0</v>
      </c>
    </row>
    <row r="519" spans="1:6" x14ac:dyDescent="0.3">
      <c r="A519" s="3">
        <v>44914</v>
      </c>
      <c r="B519" s="4" t="s">
        <v>98</v>
      </c>
      <c r="C519" s="5">
        <v>7</v>
      </c>
      <c r="D519" s="5" t="s">
        <v>108</v>
      </c>
      <c r="E519" s="5" t="s">
        <v>106</v>
      </c>
      <c r="F519" s="6">
        <v>0</v>
      </c>
    </row>
    <row r="520" spans="1:6" x14ac:dyDescent="0.3">
      <c r="A520" s="3">
        <v>44914</v>
      </c>
      <c r="B520" s="4" t="s">
        <v>29</v>
      </c>
      <c r="C520" s="5">
        <v>14</v>
      </c>
      <c r="D520" s="5" t="s">
        <v>108</v>
      </c>
      <c r="E520" s="5" t="s">
        <v>107</v>
      </c>
      <c r="F520" s="6">
        <v>0</v>
      </c>
    </row>
    <row r="521" spans="1:6" x14ac:dyDescent="0.3">
      <c r="A521" s="3">
        <v>44914</v>
      </c>
      <c r="B521" s="4" t="s">
        <v>24</v>
      </c>
      <c r="C521" s="5">
        <v>11</v>
      </c>
      <c r="D521" s="5" t="s">
        <v>106</v>
      </c>
      <c r="E521" s="5" t="s">
        <v>106</v>
      </c>
      <c r="F521" s="6">
        <v>0</v>
      </c>
    </row>
    <row r="522" spans="1:6" x14ac:dyDescent="0.3">
      <c r="A522" s="3">
        <v>44916</v>
      </c>
      <c r="B522" s="4" t="s">
        <v>18</v>
      </c>
      <c r="C522" s="5">
        <v>10</v>
      </c>
      <c r="D522" s="5" t="s">
        <v>108</v>
      </c>
      <c r="E522" s="5" t="s">
        <v>106</v>
      </c>
      <c r="F522" s="6">
        <v>0</v>
      </c>
    </row>
    <row r="523" spans="1:6" x14ac:dyDescent="0.3">
      <c r="A523" s="3">
        <v>44924</v>
      </c>
      <c r="B523" s="4" t="s">
        <v>22</v>
      </c>
      <c r="C523" s="5">
        <v>15</v>
      </c>
      <c r="D523" s="5" t="s">
        <v>108</v>
      </c>
      <c r="E523" s="5" t="s">
        <v>106</v>
      </c>
      <c r="F523" s="6">
        <v>0</v>
      </c>
    </row>
    <row r="524" spans="1:6" x14ac:dyDescent="0.3">
      <c r="A524" s="3">
        <v>44924</v>
      </c>
      <c r="B524" s="4" t="s">
        <v>94</v>
      </c>
      <c r="C524" s="5">
        <v>1</v>
      </c>
      <c r="D524" s="5" t="s">
        <v>105</v>
      </c>
      <c r="E524" s="5" t="s">
        <v>107</v>
      </c>
      <c r="F524" s="6">
        <v>0</v>
      </c>
    </row>
    <row r="525" spans="1:6" x14ac:dyDescent="0.3">
      <c r="A525" s="3">
        <v>44925</v>
      </c>
      <c r="B525" s="4" t="s">
        <v>92</v>
      </c>
      <c r="C525" s="5">
        <v>14</v>
      </c>
      <c r="D525" s="5" t="s">
        <v>108</v>
      </c>
      <c r="E525" s="5" t="s">
        <v>106</v>
      </c>
      <c r="F525" s="6">
        <v>0</v>
      </c>
    </row>
    <row r="526" spans="1:6" x14ac:dyDescent="0.3">
      <c r="A526" s="3">
        <v>44926</v>
      </c>
      <c r="B526" s="4" t="s">
        <v>75</v>
      </c>
      <c r="C526" s="5">
        <v>12</v>
      </c>
      <c r="D526" s="5" t="s">
        <v>106</v>
      </c>
      <c r="E526" s="5" t="s">
        <v>106</v>
      </c>
      <c r="F526" s="6">
        <v>0</v>
      </c>
    </row>
    <row r="527" spans="1:6" x14ac:dyDescent="0.3">
      <c r="A527" s="3">
        <v>44926</v>
      </c>
      <c r="B527" s="4" t="s">
        <v>29</v>
      </c>
      <c r="C527" s="5">
        <v>6</v>
      </c>
      <c r="D527" s="5" t="s">
        <v>106</v>
      </c>
      <c r="E527" s="5" t="s">
        <v>106</v>
      </c>
      <c r="F527" s="6">
        <v>0</v>
      </c>
    </row>
    <row r="528" spans="1:6" x14ac:dyDescent="0.3">
      <c r="A528" s="3">
        <v>44926</v>
      </c>
      <c r="B528" s="7" t="s">
        <v>29</v>
      </c>
      <c r="C528" s="8">
        <v>3</v>
      </c>
      <c r="D528" s="5" t="s">
        <v>105</v>
      </c>
      <c r="E528" s="8" t="s">
        <v>107</v>
      </c>
      <c r="F528" s="6">
        <v>0</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topLeftCell="A2" workbookViewId="0">
      <selection activeCell="I5" sqref="I5"/>
    </sheetView>
  </sheetViews>
  <sheetFormatPr defaultRowHeight="14.4" x14ac:dyDescent="0.3"/>
  <cols>
    <col min="1" max="1" width="15.88671875" bestFit="1" customWidth="1"/>
    <col min="2" max="2" width="13.6640625" bestFit="1" customWidth="1"/>
    <col min="3" max="3" width="14.44140625" bestFit="1" customWidth="1"/>
    <col min="4" max="4" width="9.88671875" bestFit="1" customWidth="1"/>
    <col min="5" max="5" width="17.21875" bestFit="1" customWidth="1"/>
    <col min="6" max="6" width="17.77734375" bestFit="1" customWidth="1"/>
  </cols>
  <sheetData>
    <row r="1" spans="1:6" ht="15" thickBot="1" x14ac:dyDescent="0.35">
      <c r="A1" s="1" t="s">
        <v>0</v>
      </c>
      <c r="B1" s="1" t="s">
        <v>1</v>
      </c>
      <c r="C1" s="1" t="s">
        <v>2</v>
      </c>
      <c r="D1" s="1" t="s">
        <v>3</v>
      </c>
      <c r="E1" s="1" t="s">
        <v>4</v>
      </c>
      <c r="F1" s="1" t="s">
        <v>5</v>
      </c>
    </row>
    <row r="2" spans="1:6" x14ac:dyDescent="0.3">
      <c r="A2" s="9" t="s">
        <v>6</v>
      </c>
      <c r="B2" s="9" t="s">
        <v>7</v>
      </c>
      <c r="C2" s="9" t="s">
        <v>8</v>
      </c>
      <c r="D2" s="9" t="s">
        <v>9</v>
      </c>
      <c r="E2" s="9">
        <v>98</v>
      </c>
      <c r="F2" s="9">
        <v>103.88</v>
      </c>
    </row>
    <row r="3" spans="1:6" x14ac:dyDescent="0.3">
      <c r="A3" s="9" t="s">
        <v>10</v>
      </c>
      <c r="B3" s="9" t="s">
        <v>11</v>
      </c>
      <c r="C3" s="9" t="s">
        <v>8</v>
      </c>
      <c r="D3" s="9" t="s">
        <v>9</v>
      </c>
      <c r="E3" s="9">
        <v>105</v>
      </c>
      <c r="F3" s="9">
        <v>142.80000000000001</v>
      </c>
    </row>
    <row r="4" spans="1:6" x14ac:dyDescent="0.3">
      <c r="A4" s="9" t="s">
        <v>12</v>
      </c>
      <c r="B4" s="9" t="s">
        <v>13</v>
      </c>
      <c r="C4" s="9" t="s">
        <v>8</v>
      </c>
      <c r="D4" s="9" t="s">
        <v>9</v>
      </c>
      <c r="E4" s="9">
        <v>71</v>
      </c>
      <c r="F4" s="9">
        <v>80.94</v>
      </c>
    </row>
    <row r="5" spans="1:6" x14ac:dyDescent="0.3">
      <c r="A5" s="9" t="s">
        <v>14</v>
      </c>
      <c r="B5" s="9" t="s">
        <v>15</v>
      </c>
      <c r="C5" s="9" t="s">
        <v>8</v>
      </c>
      <c r="D5" s="9" t="s">
        <v>109</v>
      </c>
      <c r="E5" s="9">
        <v>44</v>
      </c>
      <c r="F5" s="9">
        <v>48.84</v>
      </c>
    </row>
    <row r="6" spans="1:6" x14ac:dyDescent="0.3">
      <c r="A6" s="9" t="s">
        <v>16</v>
      </c>
      <c r="B6" s="9" t="s">
        <v>17</v>
      </c>
      <c r="C6" s="9" t="s">
        <v>8</v>
      </c>
      <c r="D6" s="9" t="s">
        <v>110</v>
      </c>
      <c r="E6" s="9">
        <v>133</v>
      </c>
      <c r="F6" s="9">
        <v>155.61000000000001</v>
      </c>
    </row>
    <row r="7" spans="1:6" x14ac:dyDescent="0.3">
      <c r="A7" s="9" t="s">
        <v>18</v>
      </c>
      <c r="B7" s="9" t="s">
        <v>19</v>
      </c>
      <c r="C7" s="9" t="s">
        <v>8</v>
      </c>
      <c r="D7" s="9" t="s">
        <v>9</v>
      </c>
      <c r="E7" s="9">
        <v>75</v>
      </c>
      <c r="F7" s="9">
        <v>85.5</v>
      </c>
    </row>
    <row r="8" spans="1:6" x14ac:dyDescent="0.3">
      <c r="A8" s="9" t="s">
        <v>20</v>
      </c>
      <c r="B8" s="9" t="s">
        <v>21</v>
      </c>
      <c r="C8" s="9" t="s">
        <v>8</v>
      </c>
      <c r="D8" s="9" t="s">
        <v>109</v>
      </c>
      <c r="E8" s="9">
        <v>43</v>
      </c>
      <c r="F8" s="9">
        <v>47.730000000000004</v>
      </c>
    </row>
    <row r="9" spans="1:6" x14ac:dyDescent="0.3">
      <c r="A9" s="9" t="s">
        <v>22</v>
      </c>
      <c r="B9" s="9" t="s">
        <v>23</v>
      </c>
      <c r="C9" s="9" t="s">
        <v>8</v>
      </c>
      <c r="D9" s="9" t="s">
        <v>9</v>
      </c>
      <c r="E9" s="9">
        <v>83</v>
      </c>
      <c r="F9" s="9">
        <v>94.62</v>
      </c>
    </row>
    <row r="10" spans="1:6" x14ac:dyDescent="0.3">
      <c r="A10" s="9" t="s">
        <v>24</v>
      </c>
      <c r="B10" s="9" t="s">
        <v>25</v>
      </c>
      <c r="C10" s="9" t="s">
        <v>8</v>
      </c>
      <c r="D10" s="9" t="s">
        <v>111</v>
      </c>
      <c r="E10" s="9">
        <v>6</v>
      </c>
      <c r="F10" s="9">
        <v>7.8599999999999994</v>
      </c>
    </row>
    <row r="11" spans="1:6" x14ac:dyDescent="0.3">
      <c r="A11" s="9" t="s">
        <v>26</v>
      </c>
      <c r="B11" s="9" t="s">
        <v>27</v>
      </c>
      <c r="C11" s="9" t="s">
        <v>28</v>
      </c>
      <c r="D11" s="9" t="s">
        <v>110</v>
      </c>
      <c r="E11" s="9">
        <v>148</v>
      </c>
      <c r="F11" s="9">
        <v>164.28</v>
      </c>
    </row>
    <row r="12" spans="1:6" x14ac:dyDescent="0.3">
      <c r="A12" s="9" t="s">
        <v>29</v>
      </c>
      <c r="B12" s="9" t="s">
        <v>30</v>
      </c>
      <c r="C12" s="9" t="s">
        <v>28</v>
      </c>
      <c r="D12" s="9" t="s">
        <v>109</v>
      </c>
      <c r="E12" s="9">
        <v>44</v>
      </c>
      <c r="F12" s="9">
        <v>48.4</v>
      </c>
    </row>
    <row r="13" spans="1:6" x14ac:dyDescent="0.3">
      <c r="A13" s="9" t="s">
        <v>31</v>
      </c>
      <c r="B13" s="9" t="s">
        <v>32</v>
      </c>
      <c r="C13" s="9" t="s">
        <v>28</v>
      </c>
      <c r="D13" s="9" t="s">
        <v>9</v>
      </c>
      <c r="E13" s="9">
        <v>73</v>
      </c>
      <c r="F13" s="9">
        <v>94.17</v>
      </c>
    </row>
    <row r="14" spans="1:6" x14ac:dyDescent="0.3">
      <c r="A14" s="9" t="s">
        <v>33</v>
      </c>
      <c r="B14" s="9" t="s">
        <v>34</v>
      </c>
      <c r="C14" s="9" t="s">
        <v>28</v>
      </c>
      <c r="D14" s="9" t="s">
        <v>9</v>
      </c>
      <c r="E14" s="9">
        <v>112</v>
      </c>
      <c r="F14" s="9">
        <v>122.08</v>
      </c>
    </row>
    <row r="15" spans="1:6" x14ac:dyDescent="0.3">
      <c r="A15" s="9" t="s">
        <v>35</v>
      </c>
      <c r="B15" s="9" t="s">
        <v>36</v>
      </c>
      <c r="C15" s="9" t="s">
        <v>28</v>
      </c>
      <c r="D15" s="9" t="s">
        <v>9</v>
      </c>
      <c r="E15" s="9">
        <v>112</v>
      </c>
      <c r="F15" s="9">
        <v>146.72</v>
      </c>
    </row>
    <row r="16" spans="1:6" x14ac:dyDescent="0.3">
      <c r="A16" s="9" t="s">
        <v>37</v>
      </c>
      <c r="B16" s="9" t="s">
        <v>38</v>
      </c>
      <c r="C16" s="9" t="s">
        <v>28</v>
      </c>
      <c r="D16" s="9" t="s">
        <v>111</v>
      </c>
      <c r="E16" s="9">
        <v>12</v>
      </c>
      <c r="F16" s="9">
        <v>15.719999999999999</v>
      </c>
    </row>
    <row r="17" spans="1:6" x14ac:dyDescent="0.3">
      <c r="A17" s="9" t="s">
        <v>39</v>
      </c>
      <c r="B17" s="9" t="s">
        <v>40</v>
      </c>
      <c r="C17" s="9" t="s">
        <v>28</v>
      </c>
      <c r="D17" s="9" t="s">
        <v>111</v>
      </c>
      <c r="E17" s="9">
        <v>13</v>
      </c>
      <c r="F17" s="9">
        <v>16.64</v>
      </c>
    </row>
    <row r="18" spans="1:6" x14ac:dyDescent="0.3">
      <c r="A18" s="9" t="s">
        <v>41</v>
      </c>
      <c r="B18" s="9" t="s">
        <v>42</v>
      </c>
      <c r="C18" s="9" t="s">
        <v>28</v>
      </c>
      <c r="D18" s="9" t="s">
        <v>110</v>
      </c>
      <c r="E18" s="9">
        <v>134</v>
      </c>
      <c r="F18" s="9">
        <v>156.78</v>
      </c>
    </row>
    <row r="19" spans="1:6" x14ac:dyDescent="0.3">
      <c r="A19" s="9" t="s">
        <v>43</v>
      </c>
      <c r="B19" s="9" t="s">
        <v>44</v>
      </c>
      <c r="C19" s="9" t="s">
        <v>28</v>
      </c>
      <c r="D19" s="9" t="s">
        <v>111</v>
      </c>
      <c r="E19" s="9">
        <v>37</v>
      </c>
      <c r="F19" s="9">
        <v>49.21</v>
      </c>
    </row>
    <row r="20" spans="1:6" x14ac:dyDescent="0.3">
      <c r="A20" s="9" t="s">
        <v>45</v>
      </c>
      <c r="B20" s="9" t="s">
        <v>46</v>
      </c>
      <c r="C20" s="9" t="s">
        <v>28</v>
      </c>
      <c r="D20" s="9" t="s">
        <v>110</v>
      </c>
      <c r="E20" s="9">
        <v>150</v>
      </c>
      <c r="F20" s="9">
        <v>210</v>
      </c>
    </row>
    <row r="21" spans="1:6" x14ac:dyDescent="0.3">
      <c r="A21" s="9" t="s">
        <v>47</v>
      </c>
      <c r="B21" s="9" t="s">
        <v>48</v>
      </c>
      <c r="C21" s="9" t="s">
        <v>49</v>
      </c>
      <c r="D21" s="9" t="s">
        <v>109</v>
      </c>
      <c r="E21" s="9">
        <v>61</v>
      </c>
      <c r="F21" s="9">
        <v>76.25</v>
      </c>
    </row>
    <row r="22" spans="1:6" x14ac:dyDescent="0.3">
      <c r="A22" s="9" t="s">
        <v>50</v>
      </c>
      <c r="B22" s="9" t="s">
        <v>51</v>
      </c>
      <c r="C22" s="9" t="s">
        <v>49</v>
      </c>
      <c r="D22" s="9" t="s">
        <v>110</v>
      </c>
      <c r="E22" s="9">
        <v>126</v>
      </c>
      <c r="F22" s="9">
        <v>162.54</v>
      </c>
    </row>
    <row r="23" spans="1:6" x14ac:dyDescent="0.3">
      <c r="A23" s="9" t="s">
        <v>52</v>
      </c>
      <c r="B23" s="9" t="s">
        <v>53</v>
      </c>
      <c r="C23" s="9" t="s">
        <v>49</v>
      </c>
      <c r="D23" s="9" t="s">
        <v>110</v>
      </c>
      <c r="E23" s="9">
        <v>121</v>
      </c>
      <c r="F23" s="9">
        <v>141.57</v>
      </c>
    </row>
    <row r="24" spans="1:6" x14ac:dyDescent="0.3">
      <c r="A24" s="9" t="s">
        <v>54</v>
      </c>
      <c r="B24" s="9" t="s">
        <v>55</v>
      </c>
      <c r="C24" s="9" t="s">
        <v>49</v>
      </c>
      <c r="D24" s="9" t="s">
        <v>110</v>
      </c>
      <c r="E24" s="9">
        <v>141</v>
      </c>
      <c r="F24" s="9">
        <v>149.46</v>
      </c>
    </row>
    <row r="25" spans="1:6" x14ac:dyDescent="0.3">
      <c r="A25" s="9" t="s">
        <v>56</v>
      </c>
      <c r="B25" s="9" t="s">
        <v>57</v>
      </c>
      <c r="C25" s="9" t="s">
        <v>49</v>
      </c>
      <c r="D25" s="9" t="s">
        <v>110</v>
      </c>
      <c r="E25" s="9">
        <v>144</v>
      </c>
      <c r="F25" s="9">
        <v>156.96</v>
      </c>
    </row>
    <row r="26" spans="1:6" x14ac:dyDescent="0.3">
      <c r="A26" s="9" t="s">
        <v>58</v>
      </c>
      <c r="B26" s="9" t="s">
        <v>59</v>
      </c>
      <c r="C26" s="9" t="s">
        <v>49</v>
      </c>
      <c r="D26" s="9" t="s">
        <v>111</v>
      </c>
      <c r="E26" s="9">
        <v>7</v>
      </c>
      <c r="F26" s="9">
        <v>8.33</v>
      </c>
    </row>
    <row r="27" spans="1:6" x14ac:dyDescent="0.3">
      <c r="A27" s="9" t="s">
        <v>60</v>
      </c>
      <c r="B27" s="9" t="s">
        <v>61</v>
      </c>
      <c r="C27" s="9" t="s">
        <v>62</v>
      </c>
      <c r="D27" s="9" t="s">
        <v>111</v>
      </c>
      <c r="E27" s="9">
        <v>18</v>
      </c>
      <c r="F27" s="9">
        <v>24.66</v>
      </c>
    </row>
    <row r="28" spans="1:6" x14ac:dyDescent="0.3">
      <c r="A28" s="9" t="s">
        <v>63</v>
      </c>
      <c r="B28" s="9" t="s">
        <v>64</v>
      </c>
      <c r="C28" s="9" t="s">
        <v>62</v>
      </c>
      <c r="D28" s="9" t="s">
        <v>109</v>
      </c>
      <c r="E28" s="9">
        <v>48</v>
      </c>
      <c r="F28" s="9">
        <v>57.120000000000005</v>
      </c>
    </row>
    <row r="29" spans="1:6" x14ac:dyDescent="0.3">
      <c r="A29" s="9" t="s">
        <v>65</v>
      </c>
      <c r="B29" s="9" t="s">
        <v>66</v>
      </c>
      <c r="C29" s="9" t="s">
        <v>62</v>
      </c>
      <c r="D29" s="9" t="s">
        <v>111</v>
      </c>
      <c r="E29" s="9">
        <v>37</v>
      </c>
      <c r="F29" s="9">
        <v>41.81</v>
      </c>
    </row>
    <row r="30" spans="1:6" x14ac:dyDescent="0.3">
      <c r="A30" s="9" t="s">
        <v>67</v>
      </c>
      <c r="B30" s="9" t="s">
        <v>68</v>
      </c>
      <c r="C30" s="9" t="s">
        <v>62</v>
      </c>
      <c r="D30" s="9" t="s">
        <v>109</v>
      </c>
      <c r="E30" s="9">
        <v>47</v>
      </c>
      <c r="F30" s="9">
        <v>53.11</v>
      </c>
    </row>
    <row r="31" spans="1:6" x14ac:dyDescent="0.3">
      <c r="A31" s="9" t="s">
        <v>69</v>
      </c>
      <c r="B31" s="9" t="s">
        <v>70</v>
      </c>
      <c r="C31" s="9" t="s">
        <v>62</v>
      </c>
      <c r="D31" s="9" t="s">
        <v>110</v>
      </c>
      <c r="E31" s="9">
        <v>148</v>
      </c>
      <c r="F31" s="9">
        <v>201.28</v>
      </c>
    </row>
    <row r="32" spans="1:6" x14ac:dyDescent="0.3">
      <c r="A32" s="9" t="s">
        <v>71</v>
      </c>
      <c r="B32" s="9" t="s">
        <v>72</v>
      </c>
      <c r="C32" s="9" t="s">
        <v>62</v>
      </c>
      <c r="D32" s="9" t="s">
        <v>9</v>
      </c>
      <c r="E32" s="9">
        <v>93</v>
      </c>
      <c r="F32" s="9">
        <v>104.16</v>
      </c>
    </row>
    <row r="33" spans="1:6" x14ac:dyDescent="0.3">
      <c r="A33" s="9" t="s">
        <v>73</v>
      </c>
      <c r="B33" s="9" t="s">
        <v>74</v>
      </c>
      <c r="C33" s="9" t="s">
        <v>62</v>
      </c>
      <c r="D33" s="9" t="s">
        <v>9</v>
      </c>
      <c r="E33" s="9">
        <v>89</v>
      </c>
      <c r="F33" s="9">
        <v>117.48</v>
      </c>
    </row>
    <row r="34" spans="1:6" x14ac:dyDescent="0.3">
      <c r="A34" s="9" t="s">
        <v>75</v>
      </c>
      <c r="B34" s="9" t="s">
        <v>76</v>
      </c>
      <c r="C34" s="9" t="s">
        <v>62</v>
      </c>
      <c r="D34" s="9" t="s">
        <v>9</v>
      </c>
      <c r="E34" s="9">
        <v>95</v>
      </c>
      <c r="F34" s="9">
        <v>119.7</v>
      </c>
    </row>
    <row r="35" spans="1:6" x14ac:dyDescent="0.3">
      <c r="A35" s="9" t="s">
        <v>77</v>
      </c>
      <c r="B35" s="9" t="s">
        <v>78</v>
      </c>
      <c r="C35" s="9" t="s">
        <v>62</v>
      </c>
      <c r="D35" s="9" t="s">
        <v>109</v>
      </c>
      <c r="E35" s="9">
        <v>55</v>
      </c>
      <c r="F35" s="9">
        <v>58.3</v>
      </c>
    </row>
    <row r="36" spans="1:6" x14ac:dyDescent="0.3">
      <c r="A36" s="9" t="s">
        <v>79</v>
      </c>
      <c r="B36" s="9" t="s">
        <v>80</v>
      </c>
      <c r="C36" s="9" t="s">
        <v>62</v>
      </c>
      <c r="D36" s="9" t="s">
        <v>111</v>
      </c>
      <c r="E36" s="9">
        <v>5</v>
      </c>
      <c r="F36" s="9">
        <v>6.7</v>
      </c>
    </row>
    <row r="37" spans="1:6" x14ac:dyDescent="0.3">
      <c r="A37" s="9" t="s">
        <v>81</v>
      </c>
      <c r="B37" s="9" t="s">
        <v>82</v>
      </c>
      <c r="C37" s="9" t="s">
        <v>62</v>
      </c>
      <c r="D37" s="9" t="s">
        <v>9</v>
      </c>
      <c r="E37" s="9">
        <v>90</v>
      </c>
      <c r="F37" s="9">
        <v>96.3</v>
      </c>
    </row>
    <row r="38" spans="1:6" x14ac:dyDescent="0.3">
      <c r="A38" s="9" t="s">
        <v>83</v>
      </c>
      <c r="B38" s="9" t="s">
        <v>84</v>
      </c>
      <c r="C38" s="9" t="s">
        <v>85</v>
      </c>
      <c r="D38" s="9" t="s">
        <v>9</v>
      </c>
      <c r="E38" s="9">
        <v>67</v>
      </c>
      <c r="F38" s="9">
        <v>85.76</v>
      </c>
    </row>
    <row r="39" spans="1:6" x14ac:dyDescent="0.3">
      <c r="A39" s="9" t="s">
        <v>86</v>
      </c>
      <c r="B39" s="9" t="s">
        <v>87</v>
      </c>
      <c r="C39" s="9" t="s">
        <v>85</v>
      </c>
      <c r="D39" s="9" t="s">
        <v>9</v>
      </c>
      <c r="E39" s="9">
        <v>72</v>
      </c>
      <c r="F39" s="9">
        <v>79.92</v>
      </c>
    </row>
    <row r="40" spans="1:6" x14ac:dyDescent="0.3">
      <c r="A40" s="9" t="s">
        <v>88</v>
      </c>
      <c r="B40" s="9" t="s">
        <v>89</v>
      </c>
      <c r="C40" s="9" t="s">
        <v>85</v>
      </c>
      <c r="D40" s="9" t="s">
        <v>111</v>
      </c>
      <c r="E40" s="9">
        <v>37</v>
      </c>
      <c r="F40" s="9">
        <v>42.55</v>
      </c>
    </row>
    <row r="41" spans="1:6" x14ac:dyDescent="0.3">
      <c r="A41" s="9" t="s">
        <v>90</v>
      </c>
      <c r="B41" s="9" t="s">
        <v>91</v>
      </c>
      <c r="C41" s="9" t="s">
        <v>85</v>
      </c>
      <c r="D41" s="9" t="s">
        <v>9</v>
      </c>
      <c r="E41" s="9">
        <v>90</v>
      </c>
      <c r="F41" s="9">
        <v>115.2</v>
      </c>
    </row>
    <row r="42" spans="1:6" x14ac:dyDescent="0.3">
      <c r="A42" s="9" t="s">
        <v>92</v>
      </c>
      <c r="B42" s="9" t="s">
        <v>93</v>
      </c>
      <c r="C42" s="9" t="s">
        <v>85</v>
      </c>
      <c r="D42" s="9" t="s">
        <v>110</v>
      </c>
      <c r="E42" s="9">
        <v>138</v>
      </c>
      <c r="F42" s="9">
        <v>173.88</v>
      </c>
    </row>
    <row r="43" spans="1:6" x14ac:dyDescent="0.3">
      <c r="A43" s="9" t="s">
        <v>94</v>
      </c>
      <c r="B43" s="9" t="s">
        <v>95</v>
      </c>
      <c r="C43" s="9" t="s">
        <v>85</v>
      </c>
      <c r="D43" s="9" t="s">
        <v>110</v>
      </c>
      <c r="E43" s="9">
        <v>120</v>
      </c>
      <c r="F43" s="9">
        <v>162</v>
      </c>
    </row>
    <row r="44" spans="1:6" x14ac:dyDescent="0.3">
      <c r="A44" s="9" t="s">
        <v>96</v>
      </c>
      <c r="B44" s="9" t="s">
        <v>97</v>
      </c>
      <c r="C44" s="9" t="s">
        <v>85</v>
      </c>
      <c r="D44" s="9" t="s">
        <v>9</v>
      </c>
      <c r="E44" s="9">
        <v>67</v>
      </c>
      <c r="F44" s="9">
        <v>83.08</v>
      </c>
    </row>
    <row r="45" spans="1:6" x14ac:dyDescent="0.3">
      <c r="A45" s="9" t="s">
        <v>98</v>
      </c>
      <c r="B45" s="9" t="s">
        <v>99</v>
      </c>
      <c r="C45" s="9" t="s">
        <v>85</v>
      </c>
      <c r="D45" s="9" t="s">
        <v>9</v>
      </c>
      <c r="E45" s="9">
        <v>76</v>
      </c>
      <c r="F45" s="9">
        <v>82.08</v>
      </c>
    </row>
    <row r="46" spans="1:6" x14ac:dyDescent="0.3">
      <c r="A46" s="9" t="s">
        <v>112</v>
      </c>
      <c r="B46" s="9" t="s">
        <v>113</v>
      </c>
      <c r="C46" s="9" t="s">
        <v>85</v>
      </c>
      <c r="D46" s="9" t="s">
        <v>9</v>
      </c>
      <c r="E46" s="10">
        <v>50</v>
      </c>
      <c r="F46" s="10">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7961-2561-4DC4-BCCB-BB2C9F98ABD1}">
  <dimension ref="A3:AL47"/>
  <sheetViews>
    <sheetView topLeftCell="Q1" workbookViewId="0">
      <selection activeCell="AD4" sqref="AD4"/>
    </sheetView>
  </sheetViews>
  <sheetFormatPr defaultRowHeight="14.4" x14ac:dyDescent="0.3"/>
  <cols>
    <col min="1" max="1" width="17.21875" bestFit="1" customWidth="1"/>
    <col min="4" max="5" width="12.109375" bestFit="1" customWidth="1"/>
    <col min="7" max="7" width="12.109375" bestFit="1" customWidth="1"/>
    <col min="10" max="10" width="12.5546875" bestFit="1" customWidth="1"/>
    <col min="11" max="11" width="12.109375" bestFit="1" customWidth="1"/>
    <col min="12" max="12" width="13.21875" bestFit="1" customWidth="1"/>
    <col min="14" max="14" width="6" bestFit="1" customWidth="1"/>
    <col min="15" max="16" width="17.21875" bestFit="1" customWidth="1"/>
    <col min="18" max="18" width="12.5546875" bestFit="1" customWidth="1"/>
    <col min="19" max="20" width="17.21875" bestFit="1" customWidth="1"/>
    <col min="22" max="22" width="12.5546875" bestFit="1" customWidth="1"/>
    <col min="23" max="23" width="17.21875" bestFit="1" customWidth="1"/>
    <col min="26" max="26" width="12.5546875" bestFit="1" customWidth="1"/>
    <col min="27" max="27" width="17.21875" bestFit="1" customWidth="1"/>
    <col min="30" max="30" width="12.5546875" bestFit="1" customWidth="1"/>
    <col min="31" max="33" width="12.109375" bestFit="1" customWidth="1"/>
    <col min="34" max="34" width="12.5546875" bestFit="1" customWidth="1"/>
    <col min="35" max="36" width="17.21875" bestFit="1" customWidth="1"/>
    <col min="37" max="37" width="12.5546875" bestFit="1" customWidth="1"/>
    <col min="38" max="38" width="5.21875" bestFit="1" customWidth="1"/>
    <col min="39" max="39" width="4" bestFit="1" customWidth="1"/>
    <col min="40" max="40" width="4.44140625" bestFit="1" customWidth="1"/>
    <col min="41" max="41" width="4" bestFit="1" customWidth="1"/>
    <col min="42" max="42" width="4.77734375" bestFit="1" customWidth="1"/>
    <col min="43" max="43" width="3.88671875" bestFit="1" customWidth="1"/>
    <col min="44" max="44" width="3.21875" bestFit="1" customWidth="1"/>
    <col min="45" max="45" width="4.33203125" bestFit="1" customWidth="1"/>
    <col min="46" max="46" width="4.109375" bestFit="1" customWidth="1"/>
    <col min="47" max="47" width="3.88671875" bestFit="1" customWidth="1"/>
    <col min="48" max="48" width="4.44140625" bestFit="1" customWidth="1"/>
    <col min="49" max="49" width="4.109375" bestFit="1" customWidth="1"/>
    <col min="50" max="50" width="10.77734375" bestFit="1" customWidth="1"/>
    <col min="51" max="75" width="9.6640625" bestFit="1" customWidth="1"/>
    <col min="76" max="76" width="10.77734375" bestFit="1" customWidth="1"/>
  </cols>
  <sheetData>
    <row r="3" spans="1:38" x14ac:dyDescent="0.3">
      <c r="A3" t="s">
        <v>114</v>
      </c>
      <c r="D3" t="s">
        <v>115</v>
      </c>
      <c r="G3" t="s">
        <v>115</v>
      </c>
      <c r="J3" s="12" t="s">
        <v>116</v>
      </c>
      <c r="K3" t="s">
        <v>115</v>
      </c>
      <c r="L3" t="s">
        <v>130</v>
      </c>
      <c r="O3" t="s">
        <v>114</v>
      </c>
      <c r="R3" s="12" t="s">
        <v>116</v>
      </c>
      <c r="S3" t="s">
        <v>114</v>
      </c>
      <c r="V3" s="12" t="s">
        <v>116</v>
      </c>
      <c r="W3" t="s">
        <v>114</v>
      </c>
      <c r="Z3" s="12" t="s">
        <v>116</v>
      </c>
      <c r="AA3" t="s">
        <v>114</v>
      </c>
      <c r="AD3" s="12" t="s">
        <v>116</v>
      </c>
      <c r="AE3" t="s">
        <v>115</v>
      </c>
      <c r="AH3" s="12" t="s">
        <v>116</v>
      </c>
      <c r="AI3" t="s">
        <v>114</v>
      </c>
    </row>
    <row r="4" spans="1:38" x14ac:dyDescent="0.3">
      <c r="A4" s="15">
        <v>49569.610000000066</v>
      </c>
      <c r="D4" s="15">
        <v>8702.6099999999915</v>
      </c>
      <c r="G4" s="14">
        <v>1</v>
      </c>
      <c r="J4" s="13" t="s">
        <v>121</v>
      </c>
      <c r="K4" s="11">
        <v>998.61000000000035</v>
      </c>
      <c r="L4" s="14">
        <v>0.11474833412045367</v>
      </c>
      <c r="N4" s="13" t="s">
        <v>6</v>
      </c>
      <c r="O4" s="11">
        <v>1350.44</v>
      </c>
      <c r="R4" s="13" t="s">
        <v>108</v>
      </c>
      <c r="S4" s="14">
        <v>0.52695754515720339</v>
      </c>
      <c r="V4" s="13" t="s">
        <v>107</v>
      </c>
      <c r="W4" s="14">
        <v>0.51697400887358114</v>
      </c>
      <c r="Z4" s="13" t="s">
        <v>94</v>
      </c>
      <c r="AA4" s="11">
        <v>3240</v>
      </c>
      <c r="AD4" s="13" t="s">
        <v>8</v>
      </c>
      <c r="AE4" s="11">
        <v>1395.9900000000002</v>
      </c>
      <c r="AH4" s="13" t="s">
        <v>8</v>
      </c>
      <c r="AI4" s="11">
        <v>9335.989999999998</v>
      </c>
    </row>
    <row r="5" spans="1:38" x14ac:dyDescent="0.3">
      <c r="A5" s="15">
        <f>GETPIVOTDATA("[Measures].[Sum of SellingPrice]",$A$3)</f>
        <v>49569.610000000066</v>
      </c>
      <c r="D5" s="15">
        <f>GETPIVOTDATA("[Measures].[Sum of Profit 2]",$D$3)</f>
        <v>8702.6099999999915</v>
      </c>
      <c r="G5" s="14">
        <f>G4</f>
        <v>1</v>
      </c>
      <c r="J5" s="13" t="s">
        <v>117</v>
      </c>
      <c r="K5" s="11">
        <v>785.65</v>
      </c>
      <c r="L5" s="14">
        <v>9.0277514446815463E-2</v>
      </c>
      <c r="N5" s="13" t="s">
        <v>10</v>
      </c>
      <c r="O5" s="11">
        <v>2141.9999999999995</v>
      </c>
      <c r="R5" s="13" t="s">
        <v>106</v>
      </c>
      <c r="S5" s="14">
        <v>0.31520300442145849</v>
      </c>
      <c r="V5" s="13" t="s">
        <v>106</v>
      </c>
      <c r="W5" s="14">
        <v>0.48302599112641692</v>
      </c>
      <c r="AA5">
        <f>GETPIVOTDATA("[Measures].[Sum of SellingPrice]",$Z$3,"[InputData].[ProductID]","[InputData].[ProductID].&amp;[P0042]")</f>
        <v>3240</v>
      </c>
      <c r="AD5" s="13" t="s">
        <v>28</v>
      </c>
      <c r="AE5" s="11">
        <v>2132.1400000000008</v>
      </c>
      <c r="AH5" s="13" t="s">
        <v>28</v>
      </c>
      <c r="AI5" s="11">
        <v>11185.139999999992</v>
      </c>
    </row>
    <row r="6" spans="1:38" x14ac:dyDescent="0.3">
      <c r="J6" s="13" t="s">
        <v>118</v>
      </c>
      <c r="K6" s="11">
        <v>589.63999999999976</v>
      </c>
      <c r="L6" s="14">
        <v>6.7754386327779872E-2</v>
      </c>
      <c r="N6" s="13" t="s">
        <v>12</v>
      </c>
      <c r="O6" s="11">
        <v>890.34000000000015</v>
      </c>
      <c r="R6" s="13" t="s">
        <v>105</v>
      </c>
      <c r="S6" s="14">
        <v>0.1578394504213366</v>
      </c>
      <c r="AD6" s="13" t="s">
        <v>49</v>
      </c>
      <c r="AE6" s="11">
        <v>836.83000000000038</v>
      </c>
      <c r="AH6" s="13" t="s">
        <v>49</v>
      </c>
      <c r="AI6" s="11">
        <v>5953.829999999999</v>
      </c>
    </row>
    <row r="7" spans="1:38" x14ac:dyDescent="0.3">
      <c r="J7" s="13" t="s">
        <v>119</v>
      </c>
      <c r="K7" s="11">
        <v>686.63</v>
      </c>
      <c r="L7" s="14">
        <v>7.889931871013417E-2</v>
      </c>
      <c r="N7" s="13" t="s">
        <v>14</v>
      </c>
      <c r="O7" s="11">
        <v>732.60000000000025</v>
      </c>
      <c r="W7" s="16">
        <f>GETPIVOTDATA("[Measures].[Sum of SellingPrice]",$V$3,"[InputData].[PaymentType]","[InputData].[PaymentType].&amp;[Cash]")</f>
        <v>0.51697400887358114</v>
      </c>
      <c r="AD7" s="13" t="s">
        <v>62</v>
      </c>
      <c r="AE7" s="11">
        <v>2133.6200000000003</v>
      </c>
      <c r="AH7" s="13" t="s">
        <v>62</v>
      </c>
      <c r="AI7" s="11">
        <v>11596.619999999997</v>
      </c>
    </row>
    <row r="8" spans="1:38" x14ac:dyDescent="0.3">
      <c r="J8" s="13" t="s">
        <v>120</v>
      </c>
      <c r="K8" s="11">
        <v>732.04000000000019</v>
      </c>
      <c r="L8" s="14">
        <v>8.4117293547568014E-2</v>
      </c>
      <c r="N8" s="13" t="s">
        <v>16</v>
      </c>
      <c r="O8" s="11">
        <v>2178.5400000000009</v>
      </c>
      <c r="W8" s="16">
        <f>GETPIVOTDATA("[Measures].[Sum of SellingPrice]",$V$3,"[InputData].[PaymentType]","[InputData].[PaymentType].&amp;[Online]")</f>
        <v>0.48302599112641692</v>
      </c>
      <c r="AD8" s="13" t="s">
        <v>85</v>
      </c>
      <c r="AE8" s="11">
        <v>2204.0300000000002</v>
      </c>
      <c r="AH8" s="13" t="s">
        <v>85</v>
      </c>
      <c r="AI8" s="11">
        <v>11498.03</v>
      </c>
    </row>
    <row r="9" spans="1:38" x14ac:dyDescent="0.3">
      <c r="J9" s="13" t="s">
        <v>122</v>
      </c>
      <c r="K9" s="11">
        <v>648.93999999999994</v>
      </c>
      <c r="L9" s="14">
        <v>7.4568434067480968E-2</v>
      </c>
      <c r="N9" s="13" t="s">
        <v>18</v>
      </c>
      <c r="O9" s="11">
        <v>684</v>
      </c>
    </row>
    <row r="10" spans="1:38" x14ac:dyDescent="0.3">
      <c r="J10" s="13" t="s">
        <v>123</v>
      </c>
      <c r="K10" s="11">
        <v>673.36999999999989</v>
      </c>
      <c r="L10" s="14">
        <v>7.7375637883347698E-2</v>
      </c>
      <c r="N10" s="13" t="s">
        <v>20</v>
      </c>
      <c r="O10" s="11">
        <v>238.65000000000003</v>
      </c>
    </row>
    <row r="11" spans="1:38" x14ac:dyDescent="0.3">
      <c r="J11" s="13" t="s">
        <v>124</v>
      </c>
      <c r="K11" s="11">
        <v>778.91</v>
      </c>
      <c r="L11" s="14">
        <v>8.9503034147227184E-2</v>
      </c>
      <c r="N11" s="13" t="s">
        <v>22</v>
      </c>
      <c r="O11" s="11">
        <v>1040.8200000000002</v>
      </c>
    </row>
    <row r="12" spans="1:38" x14ac:dyDescent="0.3">
      <c r="J12" s="13" t="s">
        <v>125</v>
      </c>
      <c r="K12" s="11">
        <v>648.64999999999986</v>
      </c>
      <c r="L12" s="14">
        <v>7.4535110731148532E-2</v>
      </c>
      <c r="N12" s="13" t="s">
        <v>24</v>
      </c>
      <c r="O12" s="11">
        <v>78.599999999999994</v>
      </c>
    </row>
    <row r="13" spans="1:38" x14ac:dyDescent="0.3">
      <c r="J13" s="13" t="s">
        <v>126</v>
      </c>
      <c r="K13" s="11">
        <v>725.24000000000012</v>
      </c>
      <c r="L13" s="14">
        <v>8.33359187646006E-2</v>
      </c>
      <c r="N13" s="13" t="s">
        <v>26</v>
      </c>
      <c r="O13" s="11">
        <v>1971.36</v>
      </c>
    </row>
    <row r="14" spans="1:38" x14ac:dyDescent="0.3">
      <c r="J14" s="13" t="s">
        <v>127</v>
      </c>
      <c r="K14" s="11">
        <v>561.88</v>
      </c>
      <c r="L14" s="14">
        <v>6.4564538684371758E-2</v>
      </c>
      <c r="N14" s="13" t="s">
        <v>29</v>
      </c>
      <c r="O14" s="11">
        <v>677.5999999999998</v>
      </c>
    </row>
    <row r="15" spans="1:38" x14ac:dyDescent="0.3">
      <c r="J15" s="13" t="s">
        <v>128</v>
      </c>
      <c r="K15" s="11">
        <v>873.05000000000018</v>
      </c>
      <c r="L15" s="14">
        <v>0.10032047856907307</v>
      </c>
      <c r="N15" s="13" t="s">
        <v>31</v>
      </c>
      <c r="O15" s="11">
        <v>1318.38</v>
      </c>
    </row>
    <row r="16" spans="1:38" x14ac:dyDescent="0.3">
      <c r="N16" s="13" t="s">
        <v>33</v>
      </c>
      <c r="O16" s="11">
        <v>1098.72</v>
      </c>
      <c r="AK16" s="12" t="s">
        <v>131</v>
      </c>
      <c r="AL16" t="s" vm="1">
        <v>129</v>
      </c>
    </row>
    <row r="17" spans="14:37" x14ac:dyDescent="0.3">
      <c r="N17" s="13" t="s">
        <v>35</v>
      </c>
      <c r="O17" s="11">
        <v>1613.92</v>
      </c>
    </row>
    <row r="18" spans="14:37" x14ac:dyDescent="0.3">
      <c r="N18" s="13" t="s">
        <v>37</v>
      </c>
      <c r="O18" s="11">
        <v>204.35999999999999</v>
      </c>
      <c r="AK18" s="12" t="s">
        <v>116</v>
      </c>
    </row>
    <row r="19" spans="14:37" x14ac:dyDescent="0.3">
      <c r="N19" s="13" t="s">
        <v>39</v>
      </c>
      <c r="O19" s="11">
        <v>249.59999999999991</v>
      </c>
      <c r="AK19" s="13" t="s">
        <v>121</v>
      </c>
    </row>
    <row r="20" spans="14:37" x14ac:dyDescent="0.3">
      <c r="N20" s="13" t="s">
        <v>41</v>
      </c>
      <c r="O20" s="11">
        <v>940.68</v>
      </c>
      <c r="AK20" s="13" t="s">
        <v>120</v>
      </c>
    </row>
    <row r="21" spans="14:37" x14ac:dyDescent="0.3">
      <c r="N21" s="13" t="s">
        <v>43</v>
      </c>
      <c r="O21" s="11">
        <v>590.52</v>
      </c>
      <c r="AK21" s="13" t="s">
        <v>124</v>
      </c>
    </row>
    <row r="22" spans="14:37" x14ac:dyDescent="0.3">
      <c r="N22" s="13" t="s">
        <v>45</v>
      </c>
      <c r="O22" s="11">
        <v>2520</v>
      </c>
      <c r="AK22" s="13" t="s">
        <v>117</v>
      </c>
    </row>
    <row r="23" spans="14:37" x14ac:dyDescent="0.3">
      <c r="N23" s="13" t="s">
        <v>47</v>
      </c>
      <c r="O23" s="11">
        <v>838.75</v>
      </c>
      <c r="AK23" s="13" t="s">
        <v>125</v>
      </c>
    </row>
    <row r="24" spans="14:37" x14ac:dyDescent="0.3">
      <c r="N24" s="13" t="s">
        <v>50</v>
      </c>
      <c r="O24" s="11">
        <v>1462.86</v>
      </c>
      <c r="AK24" s="13" t="s">
        <v>123</v>
      </c>
    </row>
    <row r="25" spans="14:37" x14ac:dyDescent="0.3">
      <c r="N25" s="13" t="s">
        <v>52</v>
      </c>
      <c r="O25" s="11">
        <v>1132.5599999999997</v>
      </c>
      <c r="AK25" s="13" t="s">
        <v>122</v>
      </c>
    </row>
    <row r="26" spans="14:37" x14ac:dyDescent="0.3">
      <c r="N26" s="13" t="s">
        <v>54</v>
      </c>
      <c r="O26" s="11">
        <v>1494.6000000000001</v>
      </c>
      <c r="AK26" s="13" t="s">
        <v>118</v>
      </c>
    </row>
    <row r="27" spans="14:37" x14ac:dyDescent="0.3">
      <c r="N27" s="13" t="s">
        <v>56</v>
      </c>
      <c r="O27" s="11">
        <v>941.7600000000001</v>
      </c>
      <c r="AK27" s="13" t="s">
        <v>128</v>
      </c>
    </row>
    <row r="28" spans="14:37" x14ac:dyDescent="0.3">
      <c r="N28" s="13" t="s">
        <v>58</v>
      </c>
      <c r="O28" s="11">
        <v>83.3</v>
      </c>
      <c r="AK28" s="13" t="s">
        <v>127</v>
      </c>
    </row>
    <row r="29" spans="14:37" x14ac:dyDescent="0.3">
      <c r="N29" s="13" t="s">
        <v>60</v>
      </c>
      <c r="O29" s="11">
        <v>345.24000000000007</v>
      </c>
      <c r="AK29" s="13" t="s">
        <v>126</v>
      </c>
    </row>
    <row r="30" spans="14:37" x14ac:dyDescent="0.3">
      <c r="N30" s="13" t="s">
        <v>63</v>
      </c>
      <c r="O30" s="11">
        <v>971.04000000000008</v>
      </c>
      <c r="AK30" s="13" t="s">
        <v>119</v>
      </c>
    </row>
    <row r="31" spans="14:37" x14ac:dyDescent="0.3">
      <c r="N31" s="13" t="s">
        <v>65</v>
      </c>
      <c r="O31" s="11">
        <v>543.53</v>
      </c>
    </row>
    <row r="32" spans="14:37" x14ac:dyDescent="0.3">
      <c r="N32" s="13" t="s">
        <v>67</v>
      </c>
      <c r="O32" s="11">
        <v>796.65000000000009</v>
      </c>
    </row>
    <row r="33" spans="14:15" x14ac:dyDescent="0.3">
      <c r="N33" s="13" t="s">
        <v>69</v>
      </c>
      <c r="O33" s="11">
        <v>2817.9200000000005</v>
      </c>
    </row>
    <row r="34" spans="14:15" x14ac:dyDescent="0.3">
      <c r="N34" s="13" t="s">
        <v>71</v>
      </c>
      <c r="O34" s="11">
        <v>624.95999999999992</v>
      </c>
    </row>
    <row r="35" spans="14:15" x14ac:dyDescent="0.3">
      <c r="N35" s="13" t="s">
        <v>73</v>
      </c>
      <c r="O35" s="11">
        <v>1879.68</v>
      </c>
    </row>
    <row r="36" spans="14:15" x14ac:dyDescent="0.3">
      <c r="N36" s="13" t="s">
        <v>75</v>
      </c>
      <c r="O36" s="11">
        <v>1556.1000000000004</v>
      </c>
    </row>
    <row r="37" spans="14:15" x14ac:dyDescent="0.3">
      <c r="N37" s="13" t="s">
        <v>77</v>
      </c>
      <c r="O37" s="11">
        <v>1107.6999999999996</v>
      </c>
    </row>
    <row r="38" spans="14:15" x14ac:dyDescent="0.3">
      <c r="N38" s="13" t="s">
        <v>79</v>
      </c>
      <c r="O38" s="11">
        <v>87.100000000000023</v>
      </c>
    </row>
    <row r="39" spans="14:15" x14ac:dyDescent="0.3">
      <c r="N39" s="13" t="s">
        <v>81</v>
      </c>
      <c r="O39" s="11">
        <v>866.69999999999982</v>
      </c>
    </row>
    <row r="40" spans="14:15" x14ac:dyDescent="0.3">
      <c r="N40" s="13" t="s">
        <v>83</v>
      </c>
      <c r="O40" s="11">
        <v>771.84</v>
      </c>
    </row>
    <row r="41" spans="14:15" x14ac:dyDescent="0.3">
      <c r="N41" s="13" t="s">
        <v>86</v>
      </c>
      <c r="O41" s="11">
        <v>1118.8799999999999</v>
      </c>
    </row>
    <row r="42" spans="14:15" x14ac:dyDescent="0.3">
      <c r="N42" s="13" t="s">
        <v>88</v>
      </c>
      <c r="O42" s="11">
        <v>382.95000000000005</v>
      </c>
    </row>
    <row r="43" spans="14:15" x14ac:dyDescent="0.3">
      <c r="N43" s="13" t="s">
        <v>90</v>
      </c>
      <c r="O43" s="11">
        <v>1152.0000000000002</v>
      </c>
    </row>
    <row r="44" spans="14:15" x14ac:dyDescent="0.3">
      <c r="N44" s="13" t="s">
        <v>92</v>
      </c>
      <c r="O44" s="11">
        <v>2608.2000000000007</v>
      </c>
    </row>
    <row r="45" spans="14:15" x14ac:dyDescent="0.3">
      <c r="N45" s="13" t="s">
        <v>94</v>
      </c>
      <c r="O45" s="11">
        <v>3240</v>
      </c>
    </row>
    <row r="46" spans="14:15" x14ac:dyDescent="0.3">
      <c r="N46" s="13" t="s">
        <v>96</v>
      </c>
      <c r="O46" s="11">
        <v>664.64</v>
      </c>
    </row>
    <row r="47" spans="14:15" x14ac:dyDescent="0.3">
      <c r="N47" s="13" t="s">
        <v>98</v>
      </c>
      <c r="O47" s="11">
        <v>1559.5199999999998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5136C-1013-4F41-A5DE-C4D2F9F5C8CC}">
  <dimension ref="A1:W41"/>
  <sheetViews>
    <sheetView showGridLines="0" tabSelected="1" topLeftCell="A4" zoomScaleNormal="100" workbookViewId="0">
      <selection activeCell="W2" sqref="W2"/>
    </sheetView>
  </sheetViews>
  <sheetFormatPr defaultRowHeight="14.4" x14ac:dyDescent="0.3"/>
  <sheetData>
    <row r="1" spans="1:23" x14ac:dyDescent="0.3">
      <c r="A1" s="17"/>
      <c r="B1" s="17"/>
      <c r="C1" s="17"/>
      <c r="D1" s="17"/>
      <c r="E1" s="17"/>
      <c r="F1" s="17"/>
      <c r="G1" s="17"/>
      <c r="H1" s="17"/>
      <c r="I1" s="17"/>
      <c r="J1" s="17"/>
      <c r="K1" s="17"/>
      <c r="L1" s="17"/>
      <c r="M1" s="17"/>
      <c r="N1" s="17"/>
      <c r="O1" s="17"/>
      <c r="P1" s="17"/>
      <c r="Q1" s="17"/>
      <c r="R1" s="17"/>
      <c r="S1" s="17"/>
      <c r="T1" s="17"/>
      <c r="U1" s="17"/>
      <c r="V1" s="17"/>
      <c r="W1" s="17"/>
    </row>
    <row r="2" spans="1:23" x14ac:dyDescent="0.3">
      <c r="A2" s="17"/>
      <c r="B2" s="17"/>
      <c r="C2" s="17"/>
      <c r="D2" s="17"/>
      <c r="E2" s="17"/>
      <c r="F2" s="17"/>
      <c r="G2" s="17"/>
      <c r="H2" s="17"/>
      <c r="I2" s="17"/>
      <c r="J2" s="17"/>
      <c r="K2" s="17"/>
      <c r="L2" s="17"/>
      <c r="M2" s="17"/>
      <c r="N2" s="17"/>
      <c r="O2" s="17"/>
      <c r="P2" s="17"/>
      <c r="Q2" s="17"/>
      <c r="R2" s="17"/>
      <c r="S2" s="17"/>
      <c r="T2" s="17"/>
      <c r="U2" s="17"/>
      <c r="V2" s="17"/>
      <c r="W2" s="17"/>
    </row>
    <row r="3" spans="1:23" x14ac:dyDescent="0.3">
      <c r="A3" s="17"/>
      <c r="B3" s="17"/>
      <c r="C3" s="17"/>
      <c r="D3" s="17"/>
      <c r="E3" s="17"/>
      <c r="F3" s="17"/>
      <c r="G3" s="17"/>
      <c r="H3" s="17"/>
      <c r="I3" s="17"/>
      <c r="J3" s="17"/>
      <c r="K3" s="17"/>
      <c r="L3" s="17"/>
      <c r="M3" s="17"/>
      <c r="N3" s="17"/>
      <c r="O3" s="17"/>
      <c r="P3" s="17"/>
      <c r="Q3" s="17"/>
      <c r="R3" s="17"/>
      <c r="S3" s="17"/>
      <c r="T3" s="17"/>
      <c r="U3" s="17"/>
      <c r="V3" s="17"/>
      <c r="W3" s="17"/>
    </row>
    <row r="4" spans="1:23" x14ac:dyDescent="0.3">
      <c r="A4" s="17"/>
      <c r="B4" s="17"/>
      <c r="C4" s="17"/>
      <c r="D4" s="17"/>
      <c r="E4" s="17"/>
      <c r="F4" s="17"/>
      <c r="G4" s="17"/>
      <c r="H4" s="17"/>
      <c r="I4" s="17"/>
      <c r="J4" s="17"/>
      <c r="K4" s="17"/>
      <c r="L4" s="17"/>
      <c r="M4" s="17"/>
      <c r="N4" s="17"/>
      <c r="O4" s="17"/>
      <c r="P4" s="17"/>
      <c r="Q4" s="17"/>
      <c r="R4" s="17"/>
      <c r="S4" s="17"/>
      <c r="T4" s="17"/>
      <c r="U4" s="17"/>
      <c r="V4" s="17"/>
      <c r="W4" s="17"/>
    </row>
    <row r="5" spans="1:23" x14ac:dyDescent="0.3">
      <c r="A5" s="17"/>
      <c r="B5" s="17"/>
      <c r="C5" s="17"/>
      <c r="D5" s="17"/>
      <c r="E5" s="17"/>
      <c r="F5" s="17"/>
      <c r="G5" s="17"/>
      <c r="H5" s="17"/>
      <c r="I5" s="17"/>
      <c r="J5" s="17"/>
      <c r="K5" s="17"/>
      <c r="L5" s="17"/>
      <c r="M5" s="17"/>
      <c r="N5" s="17"/>
      <c r="O5" s="17"/>
      <c r="P5" s="17"/>
      <c r="Q5" s="17"/>
      <c r="R5" s="17"/>
      <c r="S5" s="17"/>
      <c r="T5" s="17"/>
      <c r="U5" s="17"/>
      <c r="V5" s="17"/>
      <c r="W5" s="17"/>
    </row>
    <row r="6" spans="1:23" x14ac:dyDescent="0.3">
      <c r="A6" s="17"/>
      <c r="B6" s="17"/>
      <c r="C6" s="17"/>
      <c r="D6" s="17"/>
      <c r="E6" s="17"/>
      <c r="F6" s="17"/>
      <c r="G6" s="17"/>
      <c r="H6" s="17"/>
      <c r="I6" s="17"/>
      <c r="J6" s="17"/>
      <c r="K6" s="17"/>
      <c r="L6" s="17"/>
      <c r="M6" s="17"/>
      <c r="N6" s="17"/>
      <c r="O6" s="17"/>
      <c r="P6" s="17"/>
      <c r="Q6" s="17"/>
      <c r="R6" s="17"/>
      <c r="S6" s="17"/>
      <c r="T6" s="17"/>
      <c r="U6" s="17"/>
      <c r="V6" s="17"/>
      <c r="W6" s="17"/>
    </row>
    <row r="7" spans="1:23" x14ac:dyDescent="0.3">
      <c r="A7" s="17"/>
      <c r="B7" s="17"/>
      <c r="C7" s="17"/>
      <c r="D7" s="17"/>
      <c r="E7" s="17"/>
      <c r="F7" s="17"/>
      <c r="G7" s="17"/>
      <c r="H7" s="17"/>
      <c r="I7" s="17"/>
      <c r="J7" s="17"/>
      <c r="K7" s="17"/>
      <c r="L7" s="17"/>
      <c r="M7" s="17"/>
      <c r="N7" s="17"/>
      <c r="O7" s="17"/>
      <c r="P7" s="17"/>
      <c r="Q7" s="17"/>
      <c r="R7" s="17"/>
      <c r="S7" s="17"/>
      <c r="T7" s="17"/>
      <c r="U7" s="17"/>
      <c r="V7" s="17"/>
      <c r="W7" s="17"/>
    </row>
    <row r="8" spans="1:23" x14ac:dyDescent="0.3">
      <c r="A8" s="17"/>
      <c r="B8" s="17"/>
      <c r="C8" s="17"/>
      <c r="D8" s="17"/>
      <c r="E8" s="17"/>
      <c r="F8" s="17"/>
      <c r="G8" s="17"/>
      <c r="H8" s="17"/>
      <c r="I8" s="17"/>
      <c r="J8" s="17"/>
      <c r="K8" s="17"/>
      <c r="L8" s="17"/>
      <c r="M8" s="17"/>
      <c r="N8" s="17"/>
      <c r="O8" s="17"/>
      <c r="P8" s="17"/>
      <c r="Q8" s="17"/>
      <c r="R8" s="17"/>
      <c r="S8" s="17"/>
      <c r="T8" s="17"/>
      <c r="U8" s="17"/>
      <c r="V8" s="17"/>
      <c r="W8" s="17"/>
    </row>
    <row r="9" spans="1:23" x14ac:dyDescent="0.3">
      <c r="A9" s="17"/>
      <c r="B9" s="17"/>
      <c r="C9" s="17"/>
      <c r="D9" s="17"/>
      <c r="E9" s="17"/>
      <c r="F9" s="17"/>
      <c r="G9" s="17"/>
      <c r="H9" s="17"/>
      <c r="I9" s="17"/>
      <c r="J9" s="17"/>
      <c r="K9" s="17"/>
      <c r="L9" s="17"/>
      <c r="M9" s="17"/>
      <c r="N9" s="17"/>
      <c r="O9" s="17"/>
      <c r="P9" s="17"/>
      <c r="Q9" s="17"/>
      <c r="R9" s="17"/>
      <c r="S9" s="17"/>
      <c r="T9" s="17"/>
      <c r="U9" s="17"/>
      <c r="V9" s="17"/>
      <c r="W9" s="17"/>
    </row>
    <row r="10" spans="1:23" x14ac:dyDescent="0.3">
      <c r="A10" s="17"/>
      <c r="B10" s="17"/>
      <c r="C10" s="17"/>
      <c r="D10" s="17"/>
      <c r="E10" s="17"/>
      <c r="F10" s="17"/>
      <c r="G10" s="17"/>
      <c r="H10" s="17"/>
      <c r="I10" s="17"/>
      <c r="J10" s="17"/>
      <c r="K10" s="17"/>
      <c r="L10" s="17"/>
      <c r="M10" s="17"/>
      <c r="N10" s="17"/>
      <c r="O10" s="17"/>
      <c r="P10" s="17"/>
      <c r="Q10" s="17"/>
      <c r="R10" s="17"/>
      <c r="S10" s="17"/>
      <c r="T10" s="17"/>
      <c r="U10" s="17"/>
      <c r="V10" s="17"/>
      <c r="W10" s="17"/>
    </row>
    <row r="11" spans="1:23" x14ac:dyDescent="0.3">
      <c r="A11" s="17"/>
      <c r="B11" s="17"/>
      <c r="C11" s="17"/>
      <c r="D11" s="17"/>
      <c r="E11" s="17"/>
      <c r="F11" s="17"/>
      <c r="G11" s="17"/>
      <c r="H11" s="17"/>
      <c r="I11" s="17"/>
      <c r="J11" s="17"/>
      <c r="K11" s="17"/>
      <c r="L11" s="17"/>
      <c r="M11" s="17"/>
      <c r="N11" s="17"/>
      <c r="O11" s="17"/>
      <c r="P11" s="17"/>
      <c r="Q11" s="17"/>
      <c r="R11" s="17"/>
      <c r="S11" s="17"/>
      <c r="T11" s="17"/>
      <c r="U11" s="17"/>
      <c r="V11" s="17"/>
      <c r="W11" s="17"/>
    </row>
    <row r="12" spans="1:23" x14ac:dyDescent="0.3">
      <c r="A12" s="17"/>
      <c r="B12" s="17"/>
      <c r="C12" s="17"/>
      <c r="D12" s="17"/>
      <c r="E12" s="17"/>
      <c r="F12" s="17"/>
      <c r="G12" s="17"/>
      <c r="H12" s="17"/>
      <c r="I12" s="17"/>
      <c r="J12" s="17"/>
      <c r="K12" s="17"/>
      <c r="L12" s="17"/>
      <c r="M12" s="17"/>
      <c r="N12" s="17"/>
      <c r="O12" s="17"/>
      <c r="P12" s="17"/>
      <c r="Q12" s="17"/>
      <c r="R12" s="17"/>
      <c r="S12" s="17"/>
      <c r="T12" s="17"/>
      <c r="U12" s="17"/>
      <c r="V12" s="17"/>
      <c r="W12" s="17"/>
    </row>
    <row r="13" spans="1:23" x14ac:dyDescent="0.3">
      <c r="A13" s="17"/>
      <c r="B13" s="17"/>
      <c r="C13" s="17"/>
      <c r="D13" s="17"/>
      <c r="E13" s="17"/>
      <c r="F13" s="17"/>
      <c r="G13" s="17"/>
      <c r="H13" s="17"/>
      <c r="I13" s="17"/>
      <c r="J13" s="17"/>
      <c r="K13" s="17"/>
      <c r="L13" s="17"/>
      <c r="M13" s="17"/>
      <c r="N13" s="17"/>
      <c r="O13" s="17"/>
      <c r="P13" s="17"/>
      <c r="Q13" s="17"/>
      <c r="R13" s="17"/>
      <c r="S13" s="17"/>
      <c r="T13" s="17"/>
      <c r="U13" s="17"/>
      <c r="V13" s="17"/>
      <c r="W13" s="17"/>
    </row>
    <row r="14" spans="1:23" x14ac:dyDescent="0.3">
      <c r="A14" s="17"/>
      <c r="B14" s="17"/>
      <c r="C14" s="17"/>
      <c r="D14" s="17"/>
      <c r="E14" s="17"/>
      <c r="F14" s="17"/>
      <c r="G14" s="17"/>
      <c r="H14" s="17"/>
      <c r="I14" s="17"/>
      <c r="J14" s="17"/>
      <c r="K14" s="17"/>
      <c r="L14" s="17"/>
      <c r="M14" s="17"/>
      <c r="N14" s="17"/>
      <c r="O14" s="17"/>
      <c r="P14" s="17"/>
      <c r="Q14" s="17"/>
      <c r="R14" s="17"/>
      <c r="S14" s="17"/>
      <c r="T14" s="17"/>
      <c r="U14" s="17"/>
      <c r="V14" s="17"/>
      <c r="W14" s="17"/>
    </row>
    <row r="15" spans="1:23" x14ac:dyDescent="0.3">
      <c r="A15" s="17"/>
      <c r="B15" s="17"/>
      <c r="C15" s="17"/>
      <c r="D15" s="17"/>
      <c r="E15" s="17"/>
      <c r="F15" s="17"/>
      <c r="G15" s="17"/>
      <c r="H15" s="17"/>
      <c r="I15" s="17"/>
      <c r="J15" s="17"/>
      <c r="K15" s="17"/>
      <c r="L15" s="17"/>
      <c r="M15" s="17"/>
      <c r="N15" s="17"/>
      <c r="O15" s="17"/>
      <c r="P15" s="17"/>
      <c r="Q15" s="17"/>
      <c r="R15" s="17"/>
      <c r="S15" s="17"/>
      <c r="T15" s="17"/>
      <c r="U15" s="17"/>
      <c r="V15" s="17"/>
      <c r="W15" s="17"/>
    </row>
    <row r="16" spans="1:23" x14ac:dyDescent="0.3">
      <c r="A16" s="17"/>
      <c r="B16" s="17"/>
      <c r="C16" s="17"/>
      <c r="D16" s="17"/>
      <c r="E16" s="17"/>
      <c r="F16" s="17"/>
      <c r="G16" s="17"/>
      <c r="H16" s="17"/>
      <c r="I16" s="17"/>
      <c r="J16" s="17"/>
      <c r="K16" s="17"/>
      <c r="L16" s="17"/>
      <c r="M16" s="17"/>
      <c r="N16" s="17"/>
      <c r="O16" s="17"/>
      <c r="P16" s="17"/>
      <c r="Q16" s="17"/>
      <c r="R16" s="17"/>
      <c r="S16" s="17"/>
      <c r="T16" s="17"/>
      <c r="U16" s="17"/>
      <c r="V16" s="17"/>
      <c r="W16" s="17"/>
    </row>
    <row r="17" spans="1:23" x14ac:dyDescent="0.3">
      <c r="A17" s="17"/>
      <c r="B17" s="17"/>
      <c r="C17" s="17"/>
      <c r="D17" s="17"/>
      <c r="E17" s="17"/>
      <c r="F17" s="17"/>
      <c r="G17" s="17"/>
      <c r="H17" s="17"/>
      <c r="I17" s="17"/>
      <c r="J17" s="17"/>
      <c r="K17" s="17"/>
      <c r="L17" s="17"/>
      <c r="M17" s="17"/>
      <c r="N17" s="17"/>
      <c r="O17" s="17"/>
      <c r="P17" s="17"/>
      <c r="Q17" s="17"/>
      <c r="R17" s="17"/>
      <c r="S17" s="17"/>
      <c r="T17" s="17"/>
      <c r="U17" s="17"/>
      <c r="V17" s="17"/>
      <c r="W17" s="17"/>
    </row>
    <row r="18" spans="1:23" x14ac:dyDescent="0.3">
      <c r="A18" s="17"/>
      <c r="B18" s="17"/>
      <c r="C18" s="17"/>
      <c r="D18" s="17"/>
      <c r="E18" s="17"/>
      <c r="F18" s="17"/>
      <c r="G18" s="17"/>
      <c r="H18" s="17"/>
      <c r="I18" s="17"/>
      <c r="J18" s="17"/>
      <c r="K18" s="17"/>
      <c r="L18" s="17"/>
      <c r="M18" s="17"/>
      <c r="N18" s="17"/>
      <c r="O18" s="17"/>
      <c r="P18" s="17"/>
      <c r="Q18" s="17"/>
      <c r="R18" s="17"/>
      <c r="S18" s="17"/>
      <c r="T18" s="17"/>
      <c r="U18" s="17"/>
      <c r="V18" s="17"/>
      <c r="W18" s="17"/>
    </row>
    <row r="19" spans="1:23" x14ac:dyDescent="0.3">
      <c r="A19" s="17"/>
      <c r="B19" s="17"/>
      <c r="C19" s="17"/>
      <c r="D19" s="17"/>
      <c r="E19" s="17"/>
      <c r="F19" s="17"/>
      <c r="G19" s="17"/>
      <c r="H19" s="17"/>
      <c r="I19" s="17"/>
      <c r="J19" s="17"/>
      <c r="K19" s="17"/>
      <c r="L19" s="17"/>
      <c r="M19" s="17"/>
      <c r="N19" s="17"/>
      <c r="O19" s="17"/>
      <c r="P19" s="17"/>
      <c r="Q19" s="17"/>
      <c r="R19" s="17"/>
      <c r="S19" s="17"/>
      <c r="T19" s="17"/>
      <c r="U19" s="17"/>
      <c r="V19" s="17"/>
      <c r="W19" s="17"/>
    </row>
    <row r="20" spans="1:23" x14ac:dyDescent="0.3">
      <c r="A20" s="17"/>
      <c r="B20" s="17"/>
      <c r="C20" s="17"/>
      <c r="D20" s="17"/>
      <c r="E20" s="17"/>
      <c r="F20" s="17"/>
      <c r="G20" s="17"/>
      <c r="H20" s="17"/>
      <c r="I20" s="17"/>
      <c r="J20" s="17"/>
      <c r="K20" s="17"/>
      <c r="L20" s="17"/>
      <c r="M20" s="17"/>
      <c r="N20" s="17"/>
      <c r="O20" s="17"/>
      <c r="P20" s="17"/>
      <c r="Q20" s="17"/>
      <c r="R20" s="17"/>
      <c r="S20" s="17"/>
      <c r="T20" s="17"/>
      <c r="U20" s="17"/>
      <c r="V20" s="17"/>
      <c r="W20" s="17"/>
    </row>
    <row r="21" spans="1:23" x14ac:dyDescent="0.3">
      <c r="A21" s="17"/>
      <c r="B21" s="17"/>
      <c r="C21" s="17"/>
      <c r="D21" s="17"/>
      <c r="E21" s="17"/>
      <c r="F21" s="17"/>
      <c r="G21" s="17"/>
      <c r="H21" s="17"/>
      <c r="I21" s="17"/>
      <c r="J21" s="17"/>
      <c r="K21" s="17"/>
      <c r="L21" s="17"/>
      <c r="M21" s="17"/>
      <c r="N21" s="17"/>
      <c r="O21" s="17"/>
      <c r="P21" s="17"/>
      <c r="Q21" s="17"/>
      <c r="R21" s="17"/>
      <c r="S21" s="17"/>
      <c r="T21" s="17"/>
      <c r="U21" s="17"/>
      <c r="V21" s="17"/>
      <c r="W21" s="17"/>
    </row>
    <row r="22" spans="1:23" x14ac:dyDescent="0.3">
      <c r="A22" s="17"/>
      <c r="B22" s="17"/>
      <c r="C22" s="17"/>
      <c r="D22" s="17"/>
      <c r="E22" s="17"/>
      <c r="F22" s="17"/>
      <c r="G22" s="17"/>
      <c r="H22" s="17"/>
      <c r="I22" s="17"/>
      <c r="J22" s="17"/>
      <c r="K22" s="17"/>
      <c r="L22" s="17"/>
      <c r="M22" s="17"/>
      <c r="N22" s="17"/>
      <c r="O22" s="17"/>
      <c r="P22" s="17"/>
      <c r="Q22" s="17"/>
      <c r="R22" s="17"/>
      <c r="S22" s="17"/>
      <c r="T22" s="17"/>
      <c r="U22" s="17"/>
      <c r="V22" s="17"/>
      <c r="W22" s="17"/>
    </row>
    <row r="23" spans="1:23" x14ac:dyDescent="0.3">
      <c r="A23" s="17"/>
      <c r="B23" s="17"/>
      <c r="C23" s="17"/>
      <c r="D23" s="17"/>
      <c r="E23" s="17"/>
      <c r="F23" s="17"/>
      <c r="G23" s="17"/>
      <c r="H23" s="17"/>
      <c r="I23" s="17"/>
      <c r="J23" s="17"/>
      <c r="K23" s="17"/>
      <c r="L23" s="17"/>
      <c r="M23" s="17"/>
      <c r="N23" s="17"/>
      <c r="O23" s="17"/>
      <c r="P23" s="17"/>
      <c r="Q23" s="17"/>
      <c r="R23" s="17"/>
      <c r="S23" s="17"/>
      <c r="T23" s="17"/>
      <c r="U23" s="17"/>
      <c r="V23" s="17"/>
      <c r="W23" s="17"/>
    </row>
    <row r="24" spans="1:23" x14ac:dyDescent="0.3">
      <c r="A24" s="17"/>
      <c r="B24" s="17"/>
      <c r="C24" s="17"/>
      <c r="D24" s="17"/>
      <c r="E24" s="17"/>
      <c r="F24" s="17"/>
      <c r="G24" s="17"/>
      <c r="H24" s="17"/>
      <c r="I24" s="17"/>
      <c r="J24" s="17"/>
      <c r="K24" s="17"/>
      <c r="L24" s="17"/>
      <c r="M24" s="17"/>
      <c r="N24" s="17"/>
      <c r="O24" s="17"/>
      <c r="P24" s="17"/>
      <c r="Q24" s="17"/>
      <c r="R24" s="17"/>
      <c r="S24" s="17"/>
      <c r="T24" s="17"/>
      <c r="U24" s="17"/>
      <c r="V24" s="17"/>
      <c r="W24" s="17"/>
    </row>
    <row r="25" spans="1:23" x14ac:dyDescent="0.3">
      <c r="A25" s="17"/>
      <c r="B25" s="17"/>
      <c r="C25" s="17"/>
      <c r="D25" s="17"/>
      <c r="E25" s="17"/>
      <c r="F25" s="17"/>
      <c r="G25" s="17"/>
      <c r="H25" s="17"/>
      <c r="I25" s="17"/>
      <c r="J25" s="17"/>
      <c r="K25" s="17"/>
      <c r="L25" s="17"/>
      <c r="M25" s="17"/>
      <c r="N25" s="17"/>
      <c r="O25" s="17"/>
      <c r="P25" s="17"/>
      <c r="Q25" s="17"/>
      <c r="R25" s="17"/>
      <c r="S25" s="17"/>
      <c r="T25" s="17"/>
      <c r="U25" s="17"/>
      <c r="V25" s="17"/>
      <c r="W25" s="17"/>
    </row>
    <row r="26" spans="1:23" x14ac:dyDescent="0.3">
      <c r="A26" s="17"/>
      <c r="B26" s="17"/>
      <c r="C26" s="17"/>
      <c r="D26" s="17"/>
      <c r="E26" s="17"/>
      <c r="F26" s="17"/>
      <c r="G26" s="17"/>
      <c r="H26" s="17"/>
      <c r="I26" s="17"/>
      <c r="J26" s="17"/>
      <c r="K26" s="17"/>
      <c r="L26" s="17"/>
      <c r="M26" s="17"/>
      <c r="N26" s="17"/>
      <c r="O26" s="17"/>
      <c r="P26" s="17"/>
      <c r="Q26" s="17"/>
      <c r="R26" s="17"/>
      <c r="S26" s="17"/>
      <c r="T26" s="17"/>
      <c r="U26" s="17"/>
      <c r="V26" s="17"/>
      <c r="W26" s="17"/>
    </row>
    <row r="27" spans="1:23" x14ac:dyDescent="0.3">
      <c r="A27" s="17"/>
      <c r="B27" s="17"/>
      <c r="C27" s="17"/>
      <c r="D27" s="17"/>
      <c r="E27" s="17"/>
      <c r="F27" s="17"/>
      <c r="G27" s="17"/>
      <c r="H27" s="17"/>
      <c r="I27" s="17"/>
      <c r="J27" s="17"/>
      <c r="K27" s="17"/>
      <c r="L27" s="17"/>
      <c r="M27" s="17"/>
      <c r="N27" s="17"/>
      <c r="O27" s="17"/>
      <c r="P27" s="17"/>
      <c r="Q27" s="17"/>
      <c r="R27" s="17"/>
      <c r="S27" s="17"/>
      <c r="T27" s="17"/>
      <c r="U27" s="17"/>
      <c r="V27" s="17"/>
      <c r="W27" s="17"/>
    </row>
    <row r="28" spans="1:23" x14ac:dyDescent="0.3">
      <c r="A28" s="17"/>
      <c r="B28" s="17"/>
      <c r="C28" s="17"/>
      <c r="D28" s="17"/>
      <c r="E28" s="17"/>
      <c r="F28" s="17"/>
      <c r="G28" s="17"/>
      <c r="H28" s="17"/>
      <c r="I28" s="17"/>
      <c r="J28" s="17"/>
      <c r="K28" s="17"/>
      <c r="L28" s="17"/>
      <c r="M28" s="17"/>
      <c r="N28" s="17"/>
      <c r="O28" s="17"/>
      <c r="P28" s="17"/>
      <c r="Q28" s="17"/>
      <c r="R28" s="17"/>
      <c r="S28" s="17"/>
      <c r="T28" s="17"/>
      <c r="U28" s="17"/>
      <c r="V28" s="17"/>
      <c r="W28" s="17"/>
    </row>
    <row r="29" spans="1:23" x14ac:dyDescent="0.3">
      <c r="A29" s="17"/>
      <c r="B29" s="17"/>
      <c r="C29" s="17"/>
      <c r="D29" s="17"/>
      <c r="E29" s="17"/>
      <c r="F29" s="17"/>
      <c r="G29" s="17"/>
      <c r="H29" s="17"/>
      <c r="I29" s="17"/>
      <c r="J29" s="17"/>
      <c r="K29" s="17"/>
      <c r="L29" s="17"/>
      <c r="M29" s="17"/>
      <c r="N29" s="17"/>
      <c r="O29" s="17"/>
      <c r="P29" s="17"/>
      <c r="Q29" s="17"/>
      <c r="R29" s="17"/>
      <c r="S29" s="17"/>
      <c r="T29" s="17"/>
      <c r="U29" s="17"/>
      <c r="V29" s="17"/>
      <c r="W29" s="17"/>
    </row>
    <row r="30" spans="1:23" x14ac:dyDescent="0.3">
      <c r="A30" s="17"/>
      <c r="B30" s="17"/>
      <c r="C30" s="17"/>
      <c r="D30" s="17"/>
      <c r="E30" s="17"/>
      <c r="F30" s="17"/>
      <c r="G30" s="17"/>
      <c r="H30" s="17"/>
      <c r="I30" s="17"/>
      <c r="J30" s="17"/>
      <c r="K30" s="17"/>
      <c r="L30" s="17"/>
      <c r="M30" s="17"/>
      <c r="N30" s="17"/>
      <c r="O30" s="17"/>
      <c r="P30" s="17"/>
      <c r="Q30" s="17"/>
      <c r="R30" s="17"/>
      <c r="S30" s="17"/>
      <c r="T30" s="17"/>
      <c r="U30" s="17"/>
      <c r="V30" s="17"/>
      <c r="W30" s="17"/>
    </row>
    <row r="31" spans="1:23" x14ac:dyDescent="0.3">
      <c r="A31" s="17"/>
      <c r="B31" s="17"/>
      <c r="C31" s="17"/>
      <c r="D31" s="17"/>
      <c r="E31" s="17"/>
      <c r="F31" s="17"/>
      <c r="G31" s="17"/>
      <c r="H31" s="17"/>
      <c r="I31" s="17"/>
      <c r="J31" s="17"/>
      <c r="K31" s="17"/>
      <c r="L31" s="17"/>
      <c r="M31" s="17"/>
      <c r="N31" s="17"/>
      <c r="O31" s="17"/>
      <c r="P31" s="17"/>
      <c r="Q31" s="17"/>
      <c r="R31" s="17"/>
      <c r="S31" s="17"/>
      <c r="T31" s="17"/>
      <c r="U31" s="17"/>
      <c r="V31" s="17"/>
      <c r="W31" s="17"/>
    </row>
    <row r="32" spans="1:23" x14ac:dyDescent="0.3">
      <c r="A32" s="17"/>
      <c r="B32" s="17"/>
      <c r="C32" s="17"/>
      <c r="D32" s="17"/>
      <c r="E32" s="17"/>
      <c r="F32" s="17"/>
      <c r="G32" s="17"/>
      <c r="H32" s="17"/>
      <c r="I32" s="17"/>
      <c r="J32" s="17"/>
      <c r="K32" s="17"/>
      <c r="L32" s="17"/>
      <c r="M32" s="17"/>
      <c r="N32" s="17"/>
      <c r="O32" s="17"/>
      <c r="P32" s="17"/>
      <c r="Q32" s="17"/>
      <c r="R32" s="17"/>
      <c r="S32" s="17"/>
      <c r="T32" s="17"/>
      <c r="U32" s="17"/>
      <c r="V32" s="17"/>
      <c r="W32" s="17"/>
    </row>
    <row r="33" spans="1:23" x14ac:dyDescent="0.3">
      <c r="A33" s="17"/>
      <c r="B33" s="17"/>
      <c r="C33" s="17"/>
      <c r="D33" s="17"/>
      <c r="E33" s="17"/>
      <c r="F33" s="17"/>
      <c r="G33" s="17"/>
      <c r="H33" s="17"/>
      <c r="I33" s="17"/>
      <c r="J33" s="17"/>
      <c r="K33" s="17"/>
      <c r="L33" s="17"/>
      <c r="M33" s="17"/>
      <c r="N33" s="17"/>
      <c r="O33" s="17"/>
      <c r="P33" s="17"/>
      <c r="Q33" s="17"/>
      <c r="R33" s="17"/>
      <c r="S33" s="17"/>
      <c r="T33" s="17"/>
      <c r="U33" s="17"/>
      <c r="V33" s="17"/>
      <c r="W33" s="17"/>
    </row>
    <row r="34" spans="1:23" x14ac:dyDescent="0.3">
      <c r="A34" s="17"/>
      <c r="B34" s="17"/>
      <c r="C34" s="17"/>
      <c r="D34" s="17"/>
      <c r="E34" s="17"/>
      <c r="F34" s="17"/>
      <c r="G34" s="17"/>
      <c r="H34" s="17"/>
      <c r="I34" s="17"/>
      <c r="J34" s="17"/>
      <c r="K34" s="17"/>
      <c r="L34" s="17"/>
      <c r="M34" s="17"/>
      <c r="N34" s="17"/>
      <c r="O34" s="17"/>
      <c r="P34" s="17"/>
      <c r="Q34" s="17"/>
      <c r="R34" s="17"/>
      <c r="S34" s="17"/>
      <c r="T34" s="17"/>
      <c r="U34" s="17"/>
      <c r="V34" s="17"/>
      <c r="W34" s="17"/>
    </row>
    <row r="35" spans="1:23" x14ac:dyDescent="0.3">
      <c r="A35" s="17"/>
      <c r="B35" s="17"/>
      <c r="C35" s="17"/>
      <c r="D35" s="17"/>
      <c r="E35" s="17"/>
      <c r="F35" s="17"/>
      <c r="G35" s="17"/>
      <c r="H35" s="17"/>
      <c r="I35" s="17"/>
      <c r="J35" s="17"/>
      <c r="K35" s="17"/>
      <c r="L35" s="17"/>
      <c r="M35" s="17"/>
      <c r="N35" s="17"/>
      <c r="O35" s="17"/>
      <c r="P35" s="17"/>
      <c r="Q35" s="17"/>
      <c r="R35" s="17"/>
      <c r="S35" s="17"/>
      <c r="T35" s="17"/>
      <c r="U35" s="17"/>
      <c r="V35" s="17"/>
      <c r="W35" s="17"/>
    </row>
    <row r="36" spans="1:23" x14ac:dyDescent="0.3">
      <c r="A36" s="17"/>
      <c r="B36" s="17"/>
      <c r="C36" s="17"/>
      <c r="D36" s="17"/>
      <c r="E36" s="17"/>
      <c r="F36" s="17"/>
      <c r="G36" s="17"/>
      <c r="H36" s="17"/>
      <c r="I36" s="17"/>
      <c r="J36" s="17"/>
      <c r="K36" s="17"/>
      <c r="L36" s="17"/>
      <c r="M36" s="17"/>
      <c r="N36" s="17"/>
      <c r="O36" s="17"/>
      <c r="P36" s="17"/>
      <c r="Q36" s="17"/>
      <c r="R36" s="17"/>
      <c r="S36" s="17"/>
      <c r="T36" s="17"/>
      <c r="U36" s="17"/>
      <c r="V36" s="17"/>
      <c r="W36" s="17"/>
    </row>
    <row r="37" spans="1:23" x14ac:dyDescent="0.3">
      <c r="A37" s="17"/>
      <c r="B37" s="17"/>
      <c r="C37" s="17"/>
      <c r="D37" s="17"/>
      <c r="E37" s="17"/>
      <c r="F37" s="17"/>
      <c r="G37" s="17"/>
      <c r="H37" s="17"/>
      <c r="I37" s="17"/>
      <c r="J37" s="17"/>
      <c r="K37" s="17"/>
      <c r="L37" s="17"/>
      <c r="M37" s="17"/>
      <c r="N37" s="17"/>
      <c r="O37" s="17"/>
      <c r="P37" s="17"/>
      <c r="Q37" s="17"/>
      <c r="R37" s="17"/>
      <c r="S37" s="17"/>
      <c r="T37" s="17"/>
      <c r="U37" s="17"/>
      <c r="V37" s="17"/>
      <c r="W37" s="17"/>
    </row>
    <row r="38" spans="1:23" x14ac:dyDescent="0.3">
      <c r="A38" s="17"/>
      <c r="B38" s="17"/>
      <c r="C38" s="17"/>
      <c r="D38" s="17"/>
      <c r="E38" s="17"/>
      <c r="F38" s="17"/>
      <c r="G38" s="17"/>
      <c r="H38" s="17"/>
      <c r="I38" s="17"/>
      <c r="J38" s="17"/>
      <c r="K38" s="17"/>
      <c r="L38" s="17"/>
      <c r="M38" s="17"/>
      <c r="N38" s="17"/>
      <c r="O38" s="17"/>
      <c r="P38" s="17"/>
      <c r="Q38" s="17"/>
      <c r="R38" s="17"/>
      <c r="S38" s="17"/>
      <c r="T38" s="17"/>
      <c r="U38" s="17"/>
      <c r="V38" s="17"/>
      <c r="W38" s="17"/>
    </row>
    <row r="39" spans="1:23" x14ac:dyDescent="0.3">
      <c r="A39" s="17"/>
      <c r="B39" s="17"/>
      <c r="C39" s="17"/>
      <c r="D39" s="17"/>
      <c r="E39" s="17"/>
      <c r="F39" s="17"/>
      <c r="G39" s="17"/>
      <c r="H39" s="17"/>
      <c r="I39" s="17"/>
      <c r="J39" s="17"/>
      <c r="K39" s="17"/>
      <c r="L39" s="17"/>
      <c r="M39" s="17"/>
      <c r="N39" s="17"/>
      <c r="O39" s="17"/>
      <c r="P39" s="17"/>
      <c r="Q39" s="17"/>
      <c r="R39" s="17"/>
      <c r="S39" s="17"/>
      <c r="T39" s="17"/>
      <c r="U39" s="17"/>
      <c r="V39" s="17"/>
      <c r="W39" s="17"/>
    </row>
    <row r="40" spans="1:23" x14ac:dyDescent="0.3">
      <c r="A40" s="17"/>
      <c r="B40" s="17"/>
      <c r="C40" s="17"/>
      <c r="D40" s="17"/>
      <c r="E40" s="17"/>
      <c r="F40" s="17"/>
      <c r="G40" s="17"/>
      <c r="H40" s="17"/>
      <c r="I40" s="17"/>
      <c r="J40" s="17"/>
      <c r="K40" s="17"/>
      <c r="L40" s="17"/>
      <c r="M40" s="17"/>
      <c r="N40" s="17"/>
      <c r="O40" s="17"/>
      <c r="P40" s="17"/>
      <c r="Q40" s="17"/>
      <c r="R40" s="17"/>
      <c r="S40" s="17"/>
      <c r="T40" s="17"/>
      <c r="U40" s="17"/>
      <c r="V40" s="17"/>
      <c r="W40" s="17"/>
    </row>
    <row r="41" spans="1:23" x14ac:dyDescent="0.3">
      <c r="A41" s="17"/>
      <c r="B41" s="17"/>
      <c r="C41" s="17"/>
      <c r="D41" s="17"/>
      <c r="E41" s="17"/>
      <c r="F41" s="17"/>
      <c r="G41" s="17"/>
      <c r="H41" s="17"/>
      <c r="I41" s="17"/>
      <c r="J41" s="17"/>
      <c r="K41" s="17"/>
      <c r="L41" s="17"/>
      <c r="M41" s="17"/>
      <c r="N41" s="17"/>
      <c r="O41" s="17"/>
      <c r="P41" s="17"/>
      <c r="Q41" s="17"/>
      <c r="R41" s="17"/>
      <c r="S41" s="17"/>
      <c r="T41" s="17"/>
      <c r="U41" s="17"/>
      <c r="V41" s="17"/>
      <c r="W41"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85CCCDE-AA3F-4EB9-9156-E7F0AB4E88AC}">
  <ds:schemaRefs/>
</ds:datastoreItem>
</file>

<file path=customXml/itemProps2.xml><?xml version="1.0" encoding="utf-8"?>
<ds:datastoreItem xmlns:ds="http://schemas.openxmlformats.org/officeDocument/2006/customXml" ds:itemID="{1124C913-C14A-42CF-9F1A-3A9529430DE5}">
  <ds:schemaRefs/>
</ds:datastoreItem>
</file>

<file path=customXml/itemProps3.xml><?xml version="1.0" encoding="utf-8"?>
<ds:datastoreItem xmlns:ds="http://schemas.openxmlformats.org/officeDocument/2006/customXml" ds:itemID="{D7868290-F7BB-4451-9983-1882D87463BB}">
  <ds:schemaRefs/>
</ds:datastoreItem>
</file>

<file path=customXml/itemProps4.xml><?xml version="1.0" encoding="utf-8"?>
<ds:datastoreItem xmlns:ds="http://schemas.openxmlformats.org/officeDocument/2006/customXml" ds:itemID="{AA704F74-8851-449C-9FF5-167D165DCF79}">
  <ds:schemaRefs/>
</ds:datastoreItem>
</file>

<file path=customXml/itemProps5.xml><?xml version="1.0" encoding="utf-8"?>
<ds:datastoreItem xmlns:ds="http://schemas.openxmlformats.org/officeDocument/2006/customXml" ds:itemID="{A5C15A82-F41F-4484-A16A-265324635019}">
  <ds:schemaRefs>
    <ds:schemaRef ds:uri="http://schemas.microsoft.com/DataMashup"/>
  </ds:schemaRefs>
</ds:datastoreItem>
</file>

<file path=customXml/itemProps6.xml><?xml version="1.0" encoding="utf-8"?>
<ds:datastoreItem xmlns:ds="http://schemas.openxmlformats.org/officeDocument/2006/customXml" ds:itemID="{4C202308-2DF9-4146-BCBD-89BE38085D86}">
  <ds:schemaRefs/>
</ds:datastoreItem>
</file>

<file path=customXml/itemProps7.xml><?xml version="1.0" encoding="utf-8"?>
<ds:datastoreItem xmlns:ds="http://schemas.openxmlformats.org/officeDocument/2006/customXml" ds:itemID="{44F81CA2-8CB9-410C-9B1F-3C2DB3D1BBCD}">
  <ds:schemaRefs/>
</ds:datastoreItem>
</file>

<file path=customXml/itemProps8.xml><?xml version="1.0" encoding="utf-8"?>
<ds:datastoreItem xmlns:ds="http://schemas.openxmlformats.org/officeDocument/2006/customXml" ds:itemID="{D40AF091-FC62-40A1-A36D-3E997994E5FC}">
  <ds:schemaRefs/>
</ds:datastoreItem>
</file>

<file path=customXml/itemProps9.xml><?xml version="1.0" encoding="utf-8"?>
<ds:datastoreItem xmlns:ds="http://schemas.openxmlformats.org/officeDocument/2006/customXml" ds:itemID="{E0B54F0A-0ACE-4390-BF27-2DD8DFC0099E}">
  <ds:schemaRefs/>
</ds:datastoreItem>
</file>

<file path=customXml/itemProps10.xml><?xml version="1.0" encoding="utf-8"?>
<ds:datastoreItem xmlns:ds="http://schemas.openxmlformats.org/officeDocument/2006/customXml" ds:itemID="{37A61523-3308-45E4-8E57-C67E69D6A7CD}">
  <ds:schemaRefs/>
</ds:datastoreItem>
</file>

<file path=customXml/itemProps11.xml><?xml version="1.0" encoding="utf-8"?>
<ds:datastoreItem xmlns:ds="http://schemas.openxmlformats.org/officeDocument/2006/customXml" ds:itemID="{0520C4AB-9502-4D54-8C9E-3B928AF43F1C}">
  <ds:schemaRefs/>
</ds:datastoreItem>
</file>

<file path=customXml/itemProps12.xml><?xml version="1.0" encoding="utf-8"?>
<ds:datastoreItem xmlns:ds="http://schemas.openxmlformats.org/officeDocument/2006/customXml" ds:itemID="{8DD49956-7B73-4AF9-839A-45D0DE1DE512}">
  <ds:schemaRefs/>
</ds:datastoreItem>
</file>

<file path=customXml/itemProps13.xml><?xml version="1.0" encoding="utf-8"?>
<ds:datastoreItem xmlns:ds="http://schemas.openxmlformats.org/officeDocument/2006/customXml" ds:itemID="{27903576-A5E0-4632-9CC0-640FBD5A5998}">
  <ds:schemaRefs/>
</ds:datastoreItem>
</file>

<file path=customXml/itemProps14.xml><?xml version="1.0" encoding="utf-8"?>
<ds:datastoreItem xmlns:ds="http://schemas.openxmlformats.org/officeDocument/2006/customXml" ds:itemID="{670B9459-0318-44CF-82CE-176A00947058}">
  <ds:schemaRefs/>
</ds:datastoreItem>
</file>

<file path=customXml/itemProps15.xml><?xml version="1.0" encoding="utf-8"?>
<ds:datastoreItem xmlns:ds="http://schemas.openxmlformats.org/officeDocument/2006/customXml" ds:itemID="{F0078132-CD0A-4094-BC32-8BA1C589CA74}">
  <ds:schemaRefs/>
</ds:datastoreItem>
</file>

<file path=customXml/itemProps16.xml><?xml version="1.0" encoding="utf-8"?>
<ds:datastoreItem xmlns:ds="http://schemas.openxmlformats.org/officeDocument/2006/customXml" ds:itemID="{EC06D243-C63D-4EE5-93F2-6AA2295CE2F6}">
  <ds:schemaRefs/>
</ds:datastoreItem>
</file>

<file path=customXml/itemProps17.xml><?xml version="1.0" encoding="utf-8"?>
<ds:datastoreItem xmlns:ds="http://schemas.openxmlformats.org/officeDocument/2006/customXml" ds:itemID="{CCC093A1-DB77-4548-A502-646D89CF4FA9}">
  <ds:schemaRefs/>
</ds:datastoreItem>
</file>

<file path=customXml/itemProps18.xml><?xml version="1.0" encoding="utf-8"?>
<ds:datastoreItem xmlns:ds="http://schemas.openxmlformats.org/officeDocument/2006/customXml" ds:itemID="{6CF72D59-1783-423D-9A62-3B30C96F9377}">
  <ds:schemaRefs/>
</ds:datastoreItem>
</file>

<file path=customXml/itemProps19.xml><?xml version="1.0" encoding="utf-8"?>
<ds:datastoreItem xmlns:ds="http://schemas.openxmlformats.org/officeDocument/2006/customXml" ds:itemID="{78795059-3592-4C4E-8AF8-92894569AD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Master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hanodm1995@gmail.com</cp:lastModifiedBy>
  <dcterms:created xsi:type="dcterms:W3CDTF">2021-11-03T11:40:02Z</dcterms:created>
  <dcterms:modified xsi:type="dcterms:W3CDTF">2026-02-01T23:18:00Z</dcterms:modified>
</cp:coreProperties>
</file>